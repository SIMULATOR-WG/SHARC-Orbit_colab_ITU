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SHARC-Orbit_Simulations" sheetId="1" state="visible" r:id="rId3"/>
    <sheet name="Dicionário" sheetId="2" state="visible" r:id="rId4"/>
    <sheet name="Listas" sheetId="3" state="visible" r:id="rId5"/>
    <sheet name="REQUISITOS_INPUT&amp;OUTPUT" sheetId="4" state="visible" r:id="rId6"/>
    <sheet name="REQUISITOS_REV_2026-07"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<sst xmlns="http://schemas.openxmlformats.org/spreadsheetml/2006/main" count="702" uniqueCount="375">
  <si>
    <t xml:space="preserve">SIMULATION - GENERAL REFERENCE</t>
  </si>
  <si>
    <t xml:space="preserve">SCENARIO</t>
  </si>
  <si>
    <t xml:space="preserve">ENTRANT_NGSO</t>
  </si>
  <si>
    <t xml:space="preserve">VICTIM_GSO</t>
  </si>
  <si>
    <t xml:space="preserve">RESULTS AND SIMULATION DATA</t>
  </si>
  <si>
    <t xml:space="preserve">Date</t>
  </si>
  <si>
    <t xml:space="preserve">Run ID</t>
  </si>
  <si>
    <t xml:space="preserve">Status</t>
  </si>
  <si>
    <t xml:space="preserve">User</t>
  </si>
  <si>
    <t xml:space="preserve">Branch</t>
  </si>
  <si>
    <t xml:space="preserve">Commit</t>
  </si>
  <si>
    <t xml:space="preserve">Hardware</t>
  </si>
  <si>
    <t xml:space="preserve">Run Duration
(HH:MM:SS)</t>
  </si>
  <si>
    <t xml:space="preserve">FOLDER
(input &amp;output)</t>
  </si>
  <si>
    <t xml:space="preserve">Simulation Type
(ITU Filing or NGSO System
Single-entry or Agg.)</t>
  </si>
  <si>
    <t xml:space="preserve">EPFD Type</t>
  </si>
  <si>
    <t xml:space="preserve">Service</t>
  </si>
  <si>
    <t xml:space="preserve">Band</t>
  </si>
  <si>
    <t xml:space="preserve">Run Frequency (MHz)</t>
  </si>
  <si>
    <t xml:space="preserve">Reference Bandwidth (kHz)</t>
  </si>
  <si>
    <t xml:space="preserve">Mask ID</t>
  </si>
  <si>
    <t xml:space="preserve">Geometry</t>
  </si>
  <si>
    <t xml:space="preserve">Number of time steps (ITU) - Temporária</t>
  </si>
  <si>
    <t xml:space="preserve">Number of time steps (Sharc)</t>
  </si>
  <si>
    <t xml:space="preserve">Number of time steps (used)</t>
  </si>
  <si>
    <t xml:space="preserve">Time step (s)</t>
  </si>
  <si>
    <t xml:space="preserve">NGSO system</t>
  </si>
  <si>
    <t xml:space="preserve">ITU filing(s)</t>
  </si>
  <si>
    <t xml:space="preserve">Notice ID</t>
  </si>
  <si>
    <t xml:space="preserve">Special Section / Part</t>
  </si>
  <si>
    <t xml:space="preserve">IFIC No</t>
  </si>
  <si>
    <t xml:space="preserve">IFIC Date</t>
  </si>
  <si>
    <t xml:space="preserve">Number of Satellites</t>
  </si>
  <si>
    <t xml:space="preserve">Number of Planes</t>
  </si>
  <si>
    <t xml:space="preserve">Mutually Exclusive Config? 
(flag A.4.b.3.b)</t>
  </si>
  <si>
    <t xml:space="preserve">SRS MDB</t>
  </si>
  <si>
    <t xml:space="preserve"> PFD Mask MDB</t>
  </si>
  <si>
    <t xml:space="preserve">GSO ES latitude</t>
  </si>
  <si>
    <t xml:space="preserve">GSO ES longitude</t>
  </si>
  <si>
    <t xml:space="preserve">GSO SS longitude</t>
  </si>
  <si>
    <t xml:space="preserve">Antenna</t>
  </si>
  <si>
    <t xml:space="preserve">Diameter (m)</t>
  </si>
  <si>
    <t xml:space="preserve">Result</t>
  </si>
  <si>
    <t xml:space="preserve">Obs</t>
  </si>
  <si>
    <t xml:space="preserve">Conclusion</t>
  </si>
  <si>
    <t xml:space="preserve">Output Document 
(SEI / ITU)</t>
  </si>
  <si>
    <t xml:space="preserve">132b316f46bb</t>
  </si>
  <si>
    <t xml:space="preserve">Done</t>
  </si>
  <si>
    <t xml:space="preserve">Hygson</t>
  </si>
  <si>
    <t xml:space="preserve">main</t>
  </si>
  <si>
    <t xml:space="preserve">f0030e2</t>
  </si>
  <si>
    <t xml:space="preserve">macOS / ARM CPU / 32 GB RAM / 12 núcleos</t>
  </si>
  <si>
    <t xml:space="preserve">00:12:30</t>
  </si>
  <si>
    <t xml:space="preserve">20260623_132b316f46bb</t>
  </si>
  <si>
    <t xml:space="preserve">Filing(s) Single-Entry</t>
  </si>
  <si>
    <t xml:space="preserve">Downlink</t>
  </si>
  <si>
    <t xml:space="preserve">FSS</t>
  </si>
  <si>
    <t xml:space="preserve">Ka</t>
  </si>
  <si>
    <t xml:space="preserve">WCG</t>
  </si>
  <si>
    <t xml:space="preserve">ONEWEB</t>
  </si>
  <si>
    <t xml:space="preserve">MCSAT LEO</t>
  </si>
  <si>
    <t xml:space="preserve">CR/C</t>
  </si>
  <si>
    <t xml:space="preserve">NA</t>
  </si>
  <si>
    <t xml:space="preserve">MCSAT_LEO_Ka_SRS.mdb</t>
  </si>
  <si>
    <t xml:space="preserve">MCSAT_LEO_Ka_Masks.mdb</t>
  </si>
  <si>
    <t xml:space="preserve">ITU-R
S.1428-1</t>
  </si>
  <si>
    <t xml:space="preserve">Pass</t>
  </si>
  <si>
    <t xml:space="preserve">1a855c463a31</t>
  </si>
  <si>
    <t xml:space="preserve">Failed</t>
  </si>
  <si>
    <t xml:space="preserve">de672ee</t>
  </si>
  <si>
    <t xml:space="preserve">00:30:00</t>
  </si>
  <si>
    <t xml:space="preserve">20260701_1a855c463a31</t>
  </si>
  <si>
    <t xml:space="preserve">Fail</t>
  </si>
  <si>
    <t xml:space="preserve">b7e20ea5f705</t>
  </si>
  <si>
    <t xml:space="preserve">00:00:59</t>
  </si>
  <si>
    <t xml:space="preserve">20260701_b7e20ea5f705</t>
  </si>
  <si>
    <t xml:space="preserve">Defined location</t>
  </si>
  <si>
    <t xml:space="preserve">O local definido manualmente corresponde à WCG calculada pelo software da ITU, com o objetivo de comparar a CCDF gerada pelo SHARC-Orbit com a CCDF produzida pelo software da ITU.</t>
  </si>
  <si>
    <t xml:space="preserve">afaa4c5af592</t>
  </si>
  <si>
    <t xml:space="preserve">00:12:34</t>
  </si>
  <si>
    <t xml:space="preserve">20260702_afaa4c5af592</t>
  </si>
  <si>
    <t xml:space="preserve">8bd870fbe052</t>
  </si>
  <si>
    <t xml:space="preserve">01:00:45</t>
  </si>
  <si>
    <t xml:space="preserve">20260702_8bd870fbe052</t>
  </si>
  <si>
    <t xml:space="preserve">Group</t>
  </si>
  <si>
    <t xml:space="preserve">Column</t>
  </si>
  <si>
    <t xml:space="preserve">Descrição</t>
  </si>
  <si>
    <t xml:space="preserve">Tipo de dado</t>
  </si>
  <si>
    <t xml:space="preserve">Obrigatório?</t>
  </si>
  <si>
    <t xml:space="preserve">Lista (Listas)</t>
  </si>
  <si>
    <t xml:space="preserve">Exemplo</t>
  </si>
  <si>
    <t xml:space="preserve">Observação</t>
  </si>
  <si>
    <t xml:space="preserve">Identificador único da execução (hash do run).</t>
  </si>
  <si>
    <t xml:space="preserve">Texto</t>
  </si>
  <si>
    <t xml:space="preserve">Sim</t>
  </si>
  <si>
    <t xml:space="preserve">Gerado pelo pipeline.</t>
  </si>
  <si>
    <t xml:space="preserve">Data da execução/registro da simulação.</t>
  </si>
  <si>
    <t xml:space="preserve">Data</t>
  </si>
  <si>
    <t xml:space="preserve">2026-06-23</t>
  </si>
  <si>
    <t xml:space="preserve">Formato yyyy-mm-dd.</t>
  </si>
  <si>
    <t xml:space="preserve">Estado de acompanhamento da simulação.</t>
  </si>
  <si>
    <t xml:space="preserve">Lista</t>
  </si>
  <si>
    <t xml:space="preserve">Listas!A</t>
  </si>
  <si>
    <t xml:space="preserve">Lista suspensa.</t>
  </si>
  <si>
    <t xml:space="preserve">Executor</t>
  </si>
  <si>
    <t xml:space="preserve">Pessoa responsável pela execução ou análise.</t>
  </si>
  <si>
    <t xml:space="preserve">Recomendado</t>
  </si>
  <si>
    <t xml:space="preserve">Branch do repositório usada na execução.</t>
  </si>
  <si>
    <t xml:space="preserve">Rastreabilidade de código.</t>
  </si>
  <si>
    <t xml:space="preserve">Commit (hash curto) do código usado.</t>
  </si>
  <si>
    <t xml:space="preserve">Run Duration (s)</t>
  </si>
  <si>
    <t xml:space="preserve">Duração total da execução.</t>
  </si>
  <si>
    <t xml:space="preserve">Número</t>
  </si>
  <si>
    <t xml:space="preserve">Depois</t>
  </si>
  <si>
    <t xml:space="preserve">731237</t>
  </si>
  <si>
    <t xml:space="preserve">Unidade em segundos.</t>
  </si>
  <si>
    <t xml:space="preserve">Tipo de EPFD analisado.</t>
  </si>
  <si>
    <t xml:space="preserve">Listas!B</t>
  </si>
  <si>
    <t xml:space="preserve">Downlink, Uplink ou IS.</t>
  </si>
  <si>
    <t xml:space="preserve">Serviço do limite do Artigo 22 (vítima GSO).</t>
  </si>
  <si>
    <t xml:space="preserve">Listas!C</t>
  </si>
  <si>
    <t xml:space="preserve">FSS ou BSS.</t>
  </si>
  <si>
    <t xml:space="preserve">Frequency Band Name</t>
  </si>
  <si>
    <t xml:space="preserve">Nome da faixa/agrupamento de frequência.</t>
  </si>
  <si>
    <t xml:space="preserve">Não</t>
  </si>
  <si>
    <t xml:space="preserve">Frequência de simulação.</t>
  </si>
  <si>
    <t xml:space="preserve">17800.02</t>
  </si>
  <si>
    <t xml:space="preserve">Unidade em MHz.</t>
  </si>
  <si>
    <t xml:space="preserve">Largura de banda de referência.</t>
  </si>
  <si>
    <t xml:space="preserve">40</t>
  </si>
  <si>
    <t xml:space="preserve">Unidade em kHz.</t>
  </si>
  <si>
    <t xml:space="preserve">Identificador da máscara PFD/EPFD usada pelo motor.</t>
  </si>
  <si>
    <t xml:space="preserve">3</t>
  </si>
  <si>
    <t xml:space="preserve">Registrar se foi escolha automática.</t>
  </si>
  <si>
    <t xml:space="preserve">WCG?</t>
  </si>
  <si>
    <t xml:space="preserve">Indica se a geometria de pior caso (WCG) foi aplicada.</t>
  </si>
  <si>
    <t xml:space="preserve">Listas!E</t>
  </si>
  <si>
    <t xml:space="preserve">Yes</t>
  </si>
  <si>
    <t xml:space="preserve">yes/no.</t>
  </si>
  <si>
    <t xml:space="preserve">Number of time steps</t>
  </si>
  <si>
    <t xml:space="preserve">Número de amostras temporais.</t>
  </si>
  <si>
    <t xml:space="preserve">1000000</t>
  </si>
  <si>
    <t xml:space="preserve">Passo temporal.</t>
  </si>
  <si>
    <t xml:space="preserve">1</t>
  </si>
  <si>
    <t xml:space="preserve">ENTRANT SERVICE</t>
  </si>
  <si>
    <t xml:space="preserve">Operator</t>
  </si>
  <si>
    <t xml:space="preserve">Operador/administração do sistema NGSO interferente.</t>
  </si>
  <si>
    <t xml:space="preserve">Satellite Name</t>
  </si>
  <si>
    <t xml:space="preserve">Nome do filing/sistema/satélite NGSO.</t>
  </si>
  <si>
    <t xml:space="preserve">Conferir com Upload/SRS.</t>
  </si>
  <si>
    <t xml:space="preserve">Identificador do notice selecionado no MDB.</t>
  </si>
  <si>
    <t xml:space="preserve">317520255</t>
  </si>
  <si>
    <t xml:space="preserve">Essencial p/ comparar com a ITU.</t>
  </si>
  <si>
    <t xml:space="preserve">Seção especial ou parte associada ao filing.</t>
  </si>
  <si>
    <t xml:space="preserve">Número da IFIC de referência.</t>
  </si>
  <si>
    <t xml:space="preserve">2871</t>
  </si>
  <si>
    <t xml:space="preserve">Data da IFIC de referência.</t>
  </si>
  <si>
    <t xml:space="preserve">2018-05-28</t>
  </si>
  <si>
    <t xml:space="preserve">Número de satélites da constelação NGSO.</t>
  </si>
  <si>
    <t xml:space="preserve">774</t>
  </si>
  <si>
    <t xml:space="preserve">Upload SRS MDB</t>
  </si>
  <si>
    <t xml:space="preserve">Nome/caminho do MDB de SRS (dados do NGSO).</t>
  </si>
  <si>
    <t xml:space="preserve">Caminho</t>
  </si>
  <si>
    <t xml:space="preserve">Deve coincidir com o teste ITU.</t>
  </si>
  <si>
    <t xml:space="preserve">Upload PFD Mask MDB</t>
  </si>
  <si>
    <t xml:space="preserve">Nome/caminho do MDB de máscara PFD/EPFD.</t>
  </si>
  <si>
    <t xml:space="preserve">VICTIM SERVICE</t>
  </si>
  <si>
    <t xml:space="preserve">Latitude da estação terrena GSO (vítima).</t>
  </si>
  <si>
    <t xml:space="preserve">-52.153033</t>
  </si>
  <si>
    <t xml:space="preserve">Graus.</t>
  </si>
  <si>
    <t xml:space="preserve">Longitude da estação terrena GSO (vítima).</t>
  </si>
  <si>
    <t xml:space="preserve">-1.436946</t>
  </si>
  <si>
    <t xml:space="preserve">Longitude do satélite GSO (vítima).</t>
  </si>
  <si>
    <t xml:space="preserve">-2.144178</t>
  </si>
  <si>
    <t xml:space="preserve">ES Antenna Diameter (m)</t>
  </si>
  <si>
    <t xml:space="preserve">Diâmetro da antena da estação terrena GSO.</t>
  </si>
  <si>
    <t xml:space="preserve">1.0</t>
  </si>
  <si>
    <t xml:space="preserve">Metros.</t>
  </si>
  <si>
    <t xml:space="preserve">Reference Antenna</t>
  </si>
  <si>
    <t xml:space="preserve">Padrão de antena de referência.</t>
  </si>
  <si>
    <t xml:space="preserve">ITU-R S.1428-1</t>
  </si>
  <si>
    <t xml:space="preserve">RESULTS</t>
  </si>
  <si>
    <t xml:space="preserve">Resultado de conformidade da execução.</t>
  </si>
  <si>
    <t xml:space="preserve">Listas!D</t>
  </si>
  <si>
    <t xml:space="preserve">Output folder</t>
  </si>
  <si>
    <t xml:space="preserve">Pasta de saída da execução.</t>
  </si>
  <si>
    <t xml:space="preserve">data/runs/...</t>
  </si>
  <si>
    <t xml:space="preserve">Conclusão técnica após análise.</t>
  </si>
  <si>
    <t xml:space="preserve">Conforme limite do Art. 22</t>
  </si>
  <si>
    <t xml:space="preserve">Output Document</t>
  </si>
  <si>
    <t xml:space="preserve">Documento/relatório de saída gerado.</t>
  </si>
  <si>
    <t xml:space="preserve">Caminho/Texto</t>
  </si>
  <si>
    <t xml:space="preserve">relatorio.pdf</t>
  </si>
  <si>
    <t xml:space="preserve">Tipo de simulação</t>
  </si>
  <si>
    <t xml:space="preserve">Planned</t>
  </si>
  <si>
    <t xml:space="preserve">Running</t>
  </si>
  <si>
    <t xml:space="preserve">Uplink</t>
  </si>
  <si>
    <t xml:space="preserve">BSS</t>
  </si>
  <si>
    <t xml:space="preserve">NGSO Sys. Single-Entry</t>
  </si>
  <si>
    <t xml:space="preserve">S</t>
  </si>
  <si>
    <t xml:space="preserve">IS</t>
  </si>
  <si>
    <t xml:space="preserve">Inconclusive</t>
  </si>
  <si>
    <t xml:space="preserve">Grid Points (10x10x10)</t>
  </si>
  <si>
    <t xml:space="preserve">Multiple filings Aggregate</t>
  </si>
  <si>
    <t xml:space="preserve">M</t>
  </si>
  <si>
    <t xml:space="preserve">Under review</t>
  </si>
  <si>
    <t xml:space="preserve">Not evaluated</t>
  </si>
  <si>
    <t xml:space="preserve">Grid Points (15x15x15)</t>
  </si>
  <si>
    <t xml:space="preserve">Multiple NGSO Sys. Aggregate</t>
  </si>
  <si>
    <t xml:space="preserve">Grid Points (5x5x5)</t>
  </si>
  <si>
    <t xml:space="preserve">Archived</t>
  </si>
  <si>
    <t xml:space="preserve">REQUISITO</t>
  </si>
  <si>
    <t xml:space="preserve">PRIORIDADE</t>
  </si>
  <si>
    <t xml:space="preserve">TIPO</t>
  </si>
  <si>
    <t xml:space="preserve">STATUS</t>
  </si>
  <si>
    <t xml:space="preserve">PREVISÃO UnB</t>
  </si>
  <si>
    <t xml:space="preserve">OBSERVAÇÕES</t>
  </si>
  <si>
    <t xml:space="preserve">Implementar simulações com filings contendo configurações de operação mutuamente exclusivas (A4b3b) - requisito nativo para rodar S.1503-4. Colocar como parâmetro de entrada a ser setado pelo usuário uma lista de seleção multipla das configurações mutuamente exclusivas a serem simuladas de forma independente na mesma "run".</t>
  </si>
  <si>
    <t xml:space="preserve">Input</t>
  </si>
  <si>
    <t xml:space="preserve">Parametros Orbitais (XML) :  Hygson, levantar necessidade de ter parametros adicionais parametrizáveis para entrada manual que não seja possível de estabelecer por meio do MDB criado via SpaceCAP (XML ou na interface ? ver se é necessário) e prever como seria a relação com uma máscara (via XML ou MDB criado ?)</t>
  </si>
  <si>
    <t xml:space="preserve">Parâmetros mínimos na entrada manual: número de planos orbitais; número de satélites por plano; altitude do perigeu; altitude do apogeu (no caso de órbita circular, ambos seriam iguais); inclinação orbital; argumento do perigeu, quando aplicável; longitude inicial do nó ascendente, ou RAAN inicial, do plano orbital de referência; anomalia média inicial, anomalia verdadeira inicial ou argumento de latitude do satélite de referência; faseamento entre planos orbitais, quando aplicável; período orbital ou permitir que o software o calcule a partir dos parâmetros orbitais informados; modelo de propagação orbital utilizado na simulação, por exemplo órbita kepleriana, precessão física J2, precessão artificial ou outro modelo implementado; frequência ou faixa de frequências utilizada na simulação; largura de banda de referência</t>
  </si>
  <si>
    <t xml:space="preserve">Incluir uma funcionalidade para geração paramétrica de máscaras de PFD para epfd downlink, a partir de parâmetros técnicos do satélite, dos feixes, da antena, da potência transmitida, da frequência e das restrições operacionais do sistema non-GSO.</t>
  </si>
  <si>
    <t xml:space="preserve">Permitir a entrada dos parâmetros necessários à geração da máscara de PFD, incluindo faixa de frequência, largura de banda de referência, potência máxima por feixe, padrão de ganho da antena do satélite, número máximo de feixes simultâneos, polarização e perdas aplicáveis.</t>
  </si>
  <si>
    <t xml:space="preserve">Permitir a entrada dos parâmetros de apontamento e cobertura dos feixes, incluindo limites de steering e área de serviço.</t>
  </si>
  <si>
    <t xml:space="preserve">Permitir exportar os parâmetros de entrada utilizados na simulação, para garantir rastreabilidade e reprodução posterior dos resultados.</t>
  </si>
  <si>
    <t xml:space="preserve">Output</t>
  </si>
  <si>
    <t xml:space="preserve">Permitir a exportação de um pacote de resultados por simulação individual, em formato .zip.</t>
  </si>
  <si>
    <t xml:space="preserve">Exportar dataset CSV contendo as geometrias testadas (incluindo lat-long (ES-GSO) e (long_orbital_GSO) indexado por ID de medida de EPFD e plotar em mapa PNG as geometrias testadas na simulação marcando esses pontos da geometria.</t>
  </si>
  <si>
    <t xml:space="preserve">Exportar um arquivo ccdf_epfd.csv contendo a curva acumulada de excedência da EPFD, com os valores de EPFD e os respectivos percentuais de tempo em que esses valores são excedidos.</t>
  </si>
  <si>
    <t xml:space="preserve">Exportar uma imagem da curva CCDF da EPFD, preferencialmente em .png e, se possível, também em formato vetorial, como .pdf.</t>
  </si>
  <si>
    <t xml:space="preserve">Exportar um arquivo epfd_histogram.csv ou epfd_distribution.csv contendo a distribuição da EPFD em bins, com os intervalos de EPFD, o número de ocorrências em cada intervalo e a probabilidade ou percentual correspondente a cada intervalo.</t>
  </si>
  <si>
    <t xml:space="preserve">Exportar uma imagem da distribuição/histograma da EPFD, preferencialmente em .png e, se possível, também em formato vetorial, como .pdf.</t>
  </si>
  <si>
    <t xml:space="preserve">Exportar um arquivo epfd_timeseries.csv contendo a série temporal da EPFD utilizada para gerar as estatísticas da simulação.</t>
  </si>
  <si>
    <t xml:space="preserve">Permitir que a série temporal da EPFD seja exportada em formato compactado ou eficiente, como .csv.gz ou .parquet, para simulações com grande número de time steps.</t>
  </si>
  <si>
    <t xml:space="preserve">Exportar um arquivo de resumo da simulação, em .html ou .pdf, contendo os principais parâmetros de entrada e resultados obtidos:</t>
  </si>
  <si>
    <t xml:space="preserve">-&gt; ntc_id, o tipo de máscara de PFD, o nome do satélite ou sistema, a identificação da máscara utilizada e a frequência utilizada.</t>
  </si>
  <si>
    <t xml:space="preserve">-&gt; diâmetro da antena GSO vítima, o padrão de ganho da antena e a largura de banda de referência.</t>
  </si>
  <si>
    <t xml:space="preserve">-&gt; passo temporal grosso utilizado, o passo temporal fino utilizado e o número total de time steps.</t>
  </si>
  <si>
    <t xml:space="preserve">-&gt; tipo de EPFD calculada (no caso, por enquanto, só downlink)</t>
  </si>
  <si>
    <t xml:space="preserve">-&gt; percentis relevantes da EPFD, o valor máximo de EPFD e o resultado de conformidade, quando aplicável.</t>
  </si>
  <si>
    <t xml:space="preserve">Indicar claramente as unidades utilizadas em todos os arquivos exportados, por exemplo dBW/m²/40 kHz, dBW/m²/MHz, segundos, graus e percentual de tempo.</t>
  </si>
  <si>
    <t xml:space="preserve">Exportar, quando possível, um arquivo .xlsx consolidado com abas estruturadas semelhantes às exportadas pela ITU, como cdf, pdf, results, result_def e run_def.</t>
  </si>
  <si>
    <t xml:space="preserve">Permitir a exportação das tabelas principais também em arquivos .csv separados, para facilitar o uso posterior em scripts de análise.</t>
  </si>
  <si>
    <t xml:space="preserve">Indicar claramente nos arquivos exportados se a simulação foi baseada em arquivos MDB ou em entrada paramétrica definida pelo usuário.</t>
  </si>
  <si>
    <t xml:space="preserve">Ferramenta de geração de máscaras de PFD : Permitir a entrada das restrições operacionais usadas na geração da máscara de PFD, incluindo ângulo de exclusão do arco GSO, máscara de elevação mínima, latitude mínima e máxima de operação e regras de desligamento de feixes.</t>
  </si>
  <si>
    <t xml:space="preserve">Input/Output</t>
  </si>
  <si>
    <t xml:space="preserve">Ferramenta de geração de máscaras de PFD : Gerar a máscara de PFD como uma envoltória máxima da potência de fluxo produzida pelo satélite non-GSO, considerando as combinações permitidas de feixes, potência, polarização e estratégias de mitigação.</t>
  </si>
  <si>
    <t xml:space="preserve">Ferramenta de geração de máscaras de PFD :  Permitir gerar a máscara de PFD nos formatos compatíveis com a S.1503-4, por exemplo em função de latitude subsatélite, ângulo alpha e diferença de longitude, ou em função de latitude subsatélite, azimute e elevação.</t>
  </si>
  <si>
    <t xml:space="preserve">FUNDAMENTO NORMATIVO (S.1503-4 · SNS v10.5 · SRS v10.1)</t>
  </si>
  <si>
    <t xml:space="preserve">OBSERVAÇÕES (REVISÃO)</t>
  </si>
  <si>
    <t xml:space="preserve">EVIDÊNCIA (código)</t>
  </si>
  <si>
    <t xml:space="preserve">Não implementado</t>
  </si>
  <si>
    <t xml:space="preserve">Out/2026</t>
  </si>
  <si>
    <t xml:space="preserve">SNS v10.5: non_geo.multi_config_typ (AP4 A.4.b.3.b) — indicador de configuração única [S] ou múltiplas configurações mutuamente exclusivas [M]; non_geo.nbr_config (A.4.b.3.c) — número de subconjuntos de características orbitais mutuamente exclusivos; orbit.orbit_set_id (A.4.b.3.d) — identificador do subconjunto de configuração orbital ao qual o plano pertence; tabela orbit_set (PK ntc_id+orbit_set_id) — associação dos planos a cada configuração mutuamente exclusiva, com limites agregados por configuração (A.26.a aggr_eirp_mssprot, A.26.b aggr_pfd_mssprot). Diagrama SRS v10.1: tabela orbit_set com chave ntc_id,orbit_set_id e coluna orbit_set_id (smallint) na tabela orbit. Rec. S.1503-4 §D2.1: exige uma execução para cada conjunto único de {máscara pfd/e.i.r.p., elementos orbitais, características operacionais do sistema} — base normativa para rodar cada configuração como run independente; a Rec. não trata explicitamente configurações mutuamente exclusivas (termo ausente do texto), sendo o suporte multiconfig fundado no formato SNS/AP4.</t>
  </si>
  <si>
    <t xml:space="preserve">A norma exige: o formato SNS v10.5 define que uma notificação não-GSO pode declarar múltiplas configurações orbitais mutuamente exclusivas (non_geo.multi_config_typ=M, A.4.b.3.b), com o número de subconjuntos em nbr_config (A.4.b.3.c) e o particionamento dos planos via orbit.orbit_set_id (A.4.b.3.d) e a tabela orbit_set (PK ntc_id+orbit_set_id), que também carrega limites agregados por configuração (A.26.a/b); pelo §D2.1 da S.1503-4, cada conjunto único de elementos orbitais e características operacionais exige uma execução própria — logo cada configuração deve ser simulada em run independente. O código não tem nada disso: src/srs_reader.py lê da tabela non_geo apenas ntc_id, sat_name, nbr_plane etc. (sem multi_config_typ nem nbr_config) e da tabela orbit não lê orbit_set_id; a tabela orbit_set nem é acessada, e o Launcher/Aggregate do Streamlit tratam a notificação inteira (ntc_id) como uma única constelação. Gap concreto: para filings com multi_config_typ=M o software agrega planos de configurações mutuamente exclusivas numa constelação fictícia única, superestimando o EPFD; falta ler os três campos AP4 + a tabela orbit_set, expor a seleção de configuração na UI e gerar um run S.1503-4 por orbit_set_id, aplicando o veredito por configuração.</t>
  </si>
  <si>
    <t xml:space="preserve">grep repo-wide sem ocorrências de multi_config/nbr_config/orbit_set_id; src/srs_reader.py (leitura de non_geo linhas 543-552, orbit linhas 596-611, read_emitters_in_band linha 886); src/main.py linhas 1051/1897 (D6.3.6, não relacionado); streamlit_app/pages/5_Launcher.py e 4_Aggregate.py sem UI de configuração</t>
  </si>
  <si>
    <t xml:space="preserve">Parcial</t>
  </si>
  <si>
    <t xml:space="preserve">Set/2026</t>
  </si>
  <si>
    <t xml:space="preserve">S.1503-4 §B1.2 (entradas em quatro blocos: B2 do BR, B3 do operador não-OSG, B4 máscaras; o Attachment to Part B apenas mapeia esses parâmetros às tabelas SRS); §B3.1/§B3.2/§B3.3 (conjuntos de parâmetros definidos independentemente do banco; B3.3 fornecido em XML); §B4.1 (máscara pfd como estrutura própria: FreqMin, FreqMax, RefBW, MaskType Opção 1 α/ΔLong ou Opção 2 az/el); §D6.3.7 (SRS como fonte de mapeamento dos elementos orbitais); §B5.1-B5.3 (validação mínima das entradas). Extra-normativo quanto à UI: a norma não exige um modo de entrada manual — exige que o software aceite os conjuntos B3/B4, prevendo fornecimento via SRS e XML.</t>
  </si>
  <si>
    <t xml:space="preserve">A norma define as entradas do sistema não-OSG como conjuntos de parâmetros abstratos — §B3.1 (constelação), §B3.2 (A/E/I/O/W/V por satélite), §B3.3 (parâmetros operacionais por faixa, em XML) e §B4.1 (máscara pfd com FreqMin/FreqMax/RefBW/MaskType) — sendo o SRS apenas a fonte de mapeamento (Attachment to Part B; §D6.3.7); logo, uma via de entrada manual/paramétrica é compatível com a norma, mas não exigida por ela (extra-normativa como recurso de UI). No código esse caminho existe só no motor, via YAML (--config em src/main.py), que gera Walker Delta sintética e aceita máscara PFD avulsa em XML/CSV (src/pfd_mask.py), sem depender de MDB. Lacuna concreta: nenhuma UI Streamlit de entrada manual (Upload aceita só filings .mdb/.xml, o worker chama apenas load_from_srs), não há config.yaml de exemplo nem documentação do esquema, e o conjunto de parâmetros aceito manualmente não cobre toda a lista normativa de §B3.1/§B3.2 (detalhado em R4), tampouco há entrada manual do conjunto operacional §B3.3.</t>
  </si>
  <si>
    <t xml:space="preserve">src/main.py:100 (load_config), src/main.py:2561/2807-2809 (--config YAML mode), src/main.py:526-596 (create_constellation_from_config, Walker Delta sintético sem MDB), src/main.py:1023-1025 + src/pfd_mask.py:614-632 (load_pfd_mask XML/CSV avulso), streamlit_app/pages/1_Upload.py:35 (só .mdb/.xml), streamlit_app/lib/job_runners/s1503_worker.py:90-100 (UI usa apenas load_from_srs)</t>
  </si>
  <si>
    <t xml:space="preserve">S.1503-4 §B3.1 (Nsat, H_MIN, DoesRepeat, AdminSuppliedPrecession, Wdelta, ORBIT_PRECESS em graus/s); §B3.2 e §D5.1.2 (por satélite: A[N], E[N], I[N], O[N], W[N], V[N] + pfd[N]; F_DOWNsat em MHz); §B3.3 (Freq_Min/Freq_Max); §B2 (RefBandwidthHz fornecido pelo BR) e §B4.1 (RefBW da máscara); §D6.3.6 (três casos de modelo orbital comandados pelos flags, Caso 3 com movimento de massa pontual M=M0+n0t e ω fixo, sem J2) e §D6.3.5; §D6.3.7 (a=Re+(ha+hp)/2, e=(ha−hp)/2a, i=INC, Ω=LAN — longitude do nó, não ascensão reta —, ω=AP, ν0=PA−ω; período derivado T=2π√(a³/μ), eq. (19)). SNS v10.5, tabela orbit: nbr_sat_pl A.4.b.4.b, inclin_ang A.4.b.4.a, prd_ddd/hh/mm A.4.b.4.c.1-3, apog_km A.4.b.4.d, perig_km A.4.b.4.e, op_ht_km A.4.b.4.f, right_asc A.4.b.4.g, perig_arg A.4.b.4.i, long_asc A.4.b.4.j, f_stn_keep A.4.b.6.c, f_precess A.4.b.6.e, precession A.4.b.6.f (graus/dia), keep_rnge A.4.b.6.j; tabela phase: phase_ang A.4.b.4.h (citado como A.4.b.5.b em §D6.3.7). O fator de fase entre planos (Walker) é extra-normativo: a norma exige fase inicial por satélite.</t>
  </si>
  <si>
    <t xml:space="preserve">A norma fixa a lista de entrada: §B3.1 exige Nsat, H_MIN, DoesRepeat, AdminSuppliedPrecession, Wdelta e ORBIT_PRECESS; §B3.2 exige, por satélite, A/E/I/O/W/V, que §D6.3.7 mapeia de apog_km/perig_km (a=Re+(ha+hp)/2, e=(ha−hp)/2a), inclin_ang, long_asc (longitude do nó, não right_asc), perig_arg e phase_ang (ν0=PA−ω); frequência vem de §B3.3 (Freq_Min/Freq_Max) e a largura de banda de referência é dado do BR (§B2 RefBandwidthHz; §B4.1 RefBW). O YAML do motor atende Nsat (num_planes×sats_per_plane, cf. nbr_sat_pl A.4.b.4.b), inclinação, frequência e RefBW, e derivar o período do semieixo é conforme (T=2π√(a³/μ), eq. 19 — o prd_ddd/hh/mm A.4.b.4.c é dado declarativo do SNS). Lacunas: não aceita alturas de apogeu/perigeu (A.4.b.4.d/e — a conversão para a,e só existe no leitor MDB); O[N], W[N] e V[N] ficam fixos em 0 no caminho Walker (raan_deg/true_anomaly_deg nunca consumidos), quando a norma exige valor por satélite (phase_ang A.4.b.4.h) — o inter_plane_phasing_factor é atalho extra-normativo que não substitui a fase por satélite; e faltam os controles de modelo orbital de §B3.1/§D6.3.6: DoesRepeat/Wdelta/ORBIT_PRECESS (f_stn_keep A.4.b.6.c, keep_rnge A.4.b.6.j, f_precess/precession A.4.b.6.e/f) não são entradas manuais e o J2 secular é sempre aplicado, quando o Caso 3 (precessão administrada) exige massa pontual sem J2 (M=M0+n0t, ω fixo) — a escolha do modelo, na norma, não é livre e sim comandada por esses flags.</t>
  </si>
  <si>
    <t xml:space="preserve">src/main.py:885-946 e 526-596 (chaves non_gso: num_planes, sats_per_plane, semi_major_axis_km, eccentricity, inclination_deg, arg_perigee_deg, inter_plane_phasing_factor, frequency_ghz), src/main.py:590-596 vs src/orbit_propagator.py:224-231 (Walker ignora raan0/omega), src/main.py:293-295 (raan_deg/true_anomaly_deg nunca lidos), src/srs_reader.py:72-78 (apogeu/perigeu→a,e só no leitor MDB), src/orbit_propagator.py:39-65 (J2 sempre ativo), src/main.py:1028 e 2704-2710 (reference_bandwidth_khz)</t>
  </si>
  <si>
    <t xml:space="preserve">S.1503-4 §C1 (propósito da máscara: envelope da potência radiada independentemente da estratégia de alocação/chaveamento; valor nulo −1000 dBW para latitudes sem transmissão); §C2.1 (máscara pfd 4D: Opção 1 = satélite × latitude do ponto subsatélite × α × ΔLong; Opção 2 = satélite × latitude × azimute × elevação, ângulos definidos em §D6.4.4/§D6.4.5); §C2.3.1 (fórmula pfd_co_i = P_i + G_i − 10log10(4πd²) e soma co/cross-pol); §C2.4.1 Steps 1–8 (Opção 1, iso-α por intervalo de ΔL) e §C2.4.2 Steps 1–5 (Opção 2, grade az/el); §A1.3 (a derivação da máscara é o 1º estágio do exame, a cargo da administração notificante, entregue ao BR).</t>
  </si>
  <si>
    <t xml:space="preserve">A norma dedica a Parte C inteira à geração da máscara pfd: o §C2.4 dá a metodologia passo a passo (Opção 1 em C2.4.1, Opção 2 em C2.4.2) partindo do cálculo célula a célula do §C2.3.1 (P_i + G_i − 10log10(4πd²), somando contribuições co e cross-polarização), com uma máscara por latitude do ponto subsatélite e, se necessário, por satélite. O código só consome máscaras já prontas — src/pfd_mask.py lê/interpola, src/srs_reader.py extrai do MDB e src/mask_converter.py converte coordenadas — sem nenhum módulo que sintetize pfd a partir de potência/ganho/distância. Gap: implementar o pipeline C2.3 + C2.4 (qualquer das duas opções, com saída convertida a um dos dois formatos do §C2.1). Nota: pela §A1.3 a geração da máscara cabe à administração notificante (não ao software de exame do BR da Parte D), mas a metodologia é normatizada na Parte C e o requisito a implementa.</t>
  </si>
  <si>
    <t xml:space="preserve">grep exaustivo em src/ e streamlit_app/; src/pfd_mask.py (apenas leitura/interpolação), src/srs_reader.py (extração de máscaras existentes do MDB), src/mask_converter.py (conversão de coordenadas de máscaras existentes)</t>
  </si>
  <si>
    <t xml:space="preserve">S.1503-4 §B4.1 (FreqMin/FreqMax em MHz, RefBW em kHz alinhada às larguras de referência do Artigo 22 — usar a menor quando houver duas —, MaskType); §C2.3.1 (P_i = potência máxima emitida pelo feixe i na banda de referência dB(W/BWref); G_i = ganho do feixe no ponto da Terra; N_co/N_cross = nº máximo de feixes co-frequência iluminados simultaneamente por polarização; contribuições co e cross-pol obrigatórias, bounds −30 a +3 dB); §C2.3.2 (padrão de ganho da antena do satélite em θφ/uv/AB/(Az,El), grade com interpolação bilinear e amostragem adequada); §C2.4.1/§C2.4.2 (potência máxima disponível no repetidor, reuso de frequência/polarização, potência por célula variável com a elevação). Obs.: a fórmula do §C2.3.1 não tem termo explícito de perdas — 'perdas' é extra-normativo além de P_i máximo.</t>
  </si>
  <si>
    <t xml:space="preserve">A norma exige como insumos da geração: faixa de frequência e largura de referência coerente com o Artigo 22 (§B4.1), potência máxima por feixe na banda de referência, padrão de ganho da antena do satélite (funcional ou em grade, §C2.3.2), número máximo de feixes co-frequência simultâneos por polarização (N_co/N_cross, §C2.3.1) e limites do repetidor/reuso (§C2.4.1). O código não tem entrada de nenhum desses parâmetros: src/antenna.py traz apenas padrões de estação terrena (S.1428/BO.1443) para o cálculo de epfd, a classe SimpleCircularBeamAntenna não é usada, e system_max_eirp_dbw em src/export_visualization.py é só ilustrativo no Cesium. Gap: criar o esquema de entrada com os campos de §B4.1 + §C2.3; o item 'perdas' vai além da fórmula literal do §C2.3.1 (que usa apenas P_i máximo e G_i) e seria boa prática extra-normativa.</t>
  </si>
  <si>
    <t xml:space="preserve">src/antenna.py (apenas padrões de estação terrena S.1428/BO.1443 e SimpleCircularBeamAntenna sem uso); src/export_visualization.py:1020 (system_max_eirp_dbw usado só para estimativa visual no frontend)</t>
  </si>
  <si>
    <t xml:space="preserve">S.1503-4 §C2.4 (parágrafos introdutórios: 'the cells in the non-GSO satellite footprint are located according to the beam pointing utilized by the non-GSO system'; satélites com antenas steerable mantêm células fixas na Terra vs. apontamento fixo ao satélite com células móveis); §C2.3.1 (antenas de rastreio que apontam para células fixas no solo — hipóteses de modelagem, sob pena de distribuição geográfica de epfd imprecisa); §C2.4.1 Step 1 e §C2.4.2 Step 1 (N_total = máximo de células visíveis com o ângulo mínimo de elevação de serviço, delimitando a área de cobertura).</t>
  </si>
  <si>
    <t xml:space="preserve">A norma exige que a geração da máscara modele o apontamento dos feixes: o §C2.4 distingue explicitamente antenas steerable (células fixas na Terra ao longo do trajeto) de apontamento fixo ao satélite (células que se movem), e o Step 1 de C2.4.1/C2.4.2 delimita a área de serviço via N_total células visíveis sob a elevação mínima de serviço. No código não há nenhum parâmetro de steering, área de serviço ou cobertura de feixe do satélite — grep por steer/service area/coverage/spot beam não retorna nada, e as ocorrências de beamwidth (src/time_step.py, streamlit_app/lib/estimator.py) referem-se à antena da estação terrena para o passo fino do §D4.2. Gap: modelar a geometria de células/apontamento do §C2.4 (tipo de apontamento, elevação mínima de serviço, layout de células) como entrada da ferramenta de geração inexistente.</t>
  </si>
  <si>
    <t xml:space="preserve">grep -riE 'steer|service.?area|coverage|spot.?beam' em src/ e streamlit_app/ — nenhum resultado relacionado a apontamento/cobertura de feixe de satélite não-GSO</t>
  </si>
  <si>
    <t xml:space="preserve">Implementado</t>
  </si>
  <si>
    <t xml:space="preserve">Extra-normativo (boa prática) quanto à persistência integral do payload de entrada. O que a norma cobre: S.1503-4 §D7.2 (informação de fundo obrigatória: "pfd data generated in the software run (including antenna diameter) and reference antenna pattern" + tabela de limites de especificação); §E3 (máscaras entregues à BR "together with the software used for its calculation, the complete software description and parameters", disponíveis em caso de disputa); §E4 b) (repetição de um conjunto representativo de avaliações após modificações do software); §F2 (garantia de que "the data published are also the data used in these examinations", por "consistency and transparency").</t>
  </si>
  <si>
    <t xml:space="preserve">A norma não exige gravar o payload completo de entrada junto aos resultados: §D7.2 obriga registrar apenas os dados do run (diâmetro da antena e padrão de referência) e a tabela de limites, enquanto §E3/§E4/§F2 pressupõem reprodutibilidade e transparência das avaliações — o requisito vai além disso como boa prática. O código atende: launcher.py persiste o payload completo em RUNS_DIR/&lt;run_id&gt;/params.json (srs_path, mask_path, mask_id, ntc_id e parâmetros de simulação) e na coluna params_json do SQLite, com download em 8_Results.py. Sem gap: a rastreabilidade implementada excede o mínimo normativo de §D7.2.</t>
  </si>
  <si>
    <t xml:space="preserve">streamlit_app/lib/launcher.py (launch_s1503 linhas 84-88, launch_s1588 linhas 112-117 escrevem RUNS_DIR/&lt;run_id&gt;/params.json); streamlit_app/lib/storage.py create_run (params_json em SQLite); streamlit_app/pages/8_Results.py linhas 883-893 (download de qualquer arquivo do run, incluindo params.json)</t>
  </si>
  <si>
    <t xml:space="preserve">Extra-normativo (boa prática) quanto ao empacotamento .zip. O que a norma cobre: S.1503-4 §D7.3 (a saída deve conter: statement of the result of the test; summary table; CDF table "for information only") e §D7.3.1–D7.3.3 — só conteúdo lógico, nenhum formato de arquivo ou container é prescrito.</t>
  </si>
  <si>
    <t xml:space="preserve">D7 não exige pacote .zip: §D7.3 manda apenas que a saída contenha a declaração do resultado, a tabela-resumo e a tabela CDF, sem prescrever container de arquivos. O código agrupa os artefatos por diretório RUNS_DIR/&lt;run_id&gt;/ (params.json, sim_data.json, summary.json) com download individual em 8_Results.py, mas não há zipfile/make_archive em nenhum ponto da UI. Gap: apenas de conveniência (download em pacote único), não de conformidade normativa.</t>
  </si>
  <si>
    <t xml:space="preserve">streamlit_app/pages/8_Results.py linhas 883-893 (download_button por arquivo); grep por zipfile/ZipFile/make_archive em streamlit_app/ não retorna nada (único uso de zipfile é em src/srs_reader.py, para LER mdb zipado)</t>
  </si>
  <si>
    <t xml:space="preserve">S.1503-4 §D3 (WCG = "reference GSO satellite location and either an ES or boresight", determinada pelo WCGA por run; pseudocódigo WCGA_Down armazena o par (N, P)); §D2.1 (pseudocódigo CreateRun: enumeração de runs por Direction/Service/Frequency/ES_DishSize a partir do LimitsAPI); §D5.1.4.1 Step 3 (usar a WCG do §D3.1 ou a localização GSO/ES solicitada — cf. §D1.5, análise custom pode pedir localizações de satélite GSO e ES ao usuário); §D7.3 (saída = statement + summary table + CDF table — não inclui dataset de geometrias nem mapa). Export CSV/PNG/"EPFD measure ID": Extra-normativo (boa prática).</t>
  </si>
  <si>
    <t xml:space="preserve">A norma exige apenas determinar a WCG de cada run (§D3: uma localização de satélite GSO de referência e uma ES escolhidas pelo WCGA) e enumerar os runs a executar (§D2.1); o formato de saída do §D7.3 se limita a veredito, tabela-resumo e tabela de CDF — não há mandato de exportar o dataset de geometrias testadas, mapa PNG ou um "EPFD measure ID" (a varredura multi-geometria é própria de estudos tipo S.1588; o S.1503-4 usa uma única WCG por run). O código já registra os dados por ponto (per_point com index, ES lat/lon e longitude GSO em sim_data.json do s1588_worker) e os plota em mapa interativo Plotly (globe_chart em 8_Results.py). Gap concreto: falta exportação CSV, PNG estático do mapa e o identificador "EPFD measure ID" — itens Extra-normativos frente ao §D7.3; o dado de geometria em si (WCG/pontos testados) já existe em JSON.</t>
  </si>
  <si>
    <t xml:space="preserve">streamlit_app/lib/job_runners/s1588_worker.py (per_point: index, es_lat_deg, es_lon_deg, gso_lon_deg, max_epfd_dbw em sim_data.json); streamlit_app/pages/8_Results.py:_collect_geometry_points/_render_globe + streamlit_app/lib/plots.py:globe_chart; src/export_visualization.py:generate_sim_data (trail_summary lat/lon/epfd)</t>
  </si>
  <si>
    <t xml:space="preserve">S.1503-4 §D7.3 (3º item: "CDF table (for information only)"); §D7.3.3 ("The output should include for information the calculated CDF which was used in the decision-making process"); §D7.1.2 (CDFi = 100(1 − SUM(PDFmin:PDFi))); §D7.1.1 (o termo CDF inclui o conceito de CCDF); §D5.1.6 Outputs (dois arrays: epfd_DOWN_CALC[I] em dB(W/(m²·BWref)) e PC_CALC[I] = % do tempo em que o valor é excedido). Formato .csv: Extra-normativo.</t>
  </si>
  <si>
    <t xml:space="preserve">A norma exige emitir a tabela de CDF: o §D7.3.3 manda incluir na saída, "for information", a CDF calculada usada na decisão, e o §D5.1.6 define o dado exatamente como dois arrays (valores de epfd e % do tempo excedido), produzidos pela fórmula do §D7.1.2 e entendidos como CCDF conforme §D7.1.1. O código gera esses dois arrays (build_ccdf em src/epfd_stream_accumulator.py, bins de 0,1 dB) e os persiste como ccdf_bins_db/ccdf_pct em sim_data.json, baixável em 8_Results.py — ou seja, o dado normativo é produzido e emitido, apenas em JSON. Gap concreto: falta só a serialização ccdf_epfd.csv pedida pelo requisito; o contêiner CSV é Extra-normativo (o §D7.3 não prescreve formato de arquivo), mas a tabela de CDF em si é saída obrigatória e já está coberta.</t>
  </si>
  <si>
    <t xml:space="preserve">src/epfd_stream_accumulator.py:build_ccdf (bins 0,1 dB → % tempo excedido); streamlit_app/lib/job_runners/s1503_worker.py:388-396 e s1588_worker.py (ccdf_bins_db/ccdf_pct em sim_data.json); src/export_visualization.py:_build_export_ccdf</t>
  </si>
  <si>
    <t xml:space="preserve">S.1503-4 §D7.3 e §D7.3.3: a CDF é exigida como TABELA ("CDF table (for information only)"), nunca como gráfico — nenhuma seção do D7 menciona plot/imagem. Gráfico .png/.pdf da curva: Extra-normativo (boa prática); o dado subjacente (tabela de CDF) é normativo, cf. §D7.3.3 e §D5.1.6.</t>
  </si>
  <si>
    <t xml:space="preserve">A norma exige a CDF apenas em forma de tabela (§D7.3 "CDF table (for information only)"; §D7.3.3) — imagem PNG/PDF da curva CCDF não é mandada em nenhum ponto do D7, sendo Extra-normativa (boa prática de relatório). O código gera imagem só no fluxo CLI: plot_results em src/main.py grava wcg_epfd_results.png com um painel "CDF vs Art. 22 limits"; na UI Streamlit a CCDF é Plotly interativa sem write_image. Gap concreto: sem imagem dedicada da CCDF nos runs da UI e sem versão vetorial .pdf — deficiência apenas frente ao requisito; a exigência normativa (tabela de CDF) é atendida pelos dados de R11.</t>
  </si>
  <si>
    <t xml:space="preserve">src/main.py:plot_results (linhas 2451-2548, wcg_epfd_results.png com painel 'CDF vs Art. 22 limits', dpi=150), chamado só no CLI (main.py:3023); streamlit_app/lib/plots.py:ccdf_chart (Plotly interativo, sem write_image)</t>
  </si>
  <si>
    <t xml:space="preserve">S.1503-4 §D7.1.1 (a simulação produz uma PDF: por nível, nº de time-steps ÷ soma de todos os bins); §D1.4 ("Bin size: SB = 0.1 dB"; valores por passo arredondados para baixo com precisão máxima de 0,1 dB, por consistência com §D7.1.3); §D5.1.4.1 Step 4bis (zerar todos os bins) e Step 24 (incrementar estatísticas por (Tstep/Tfine) entradas); §D7.1.2 (conversão PDF→CDF). Export da PDF em CSV: Extra-normativo — §D7.3 lista como saída apenas statement, summary table e CDF table.</t>
  </si>
  <si>
    <t xml:space="preserve">A norma exige que a PDF exista como estrutura de dados: o §D7.1.1 a define (por nível de epfd, nº de passos ÷ soma dos bins), o §D1.4 fixa o bin em SB = 0,1 dB com arredondamento para baixo, e o §D5.1.4.1 (Steps 4bis/24) manda acumular as estatísticas nesses bins — mas a saída obrigatória do §D7.3 é só veredito + tabela-resumo + tabela de CDF; a PDF/histograma como arquivo não é mandada. O código implementa a PDF em conformidade (duration_per_bin com 4000 bins de 0,1 dB em src/epfd_stream_accumulator.py, ponderado por duração) e dela deriva a CDF conforme §D7.1.2. Gap concreto: o histograma nunca é serializado — nem em sim_data.json nem em CSV; os arquivos epfd_histogram.csv/epfd_distribution.csv pedidos são Extra-normativos, porém o dado subjacente é normativo e já existe em memória, faltando apenas exportá-lo.</t>
  </si>
  <si>
    <t xml:space="preserve">src/epfd_stream_accumulator.py:23-26,66,139 (duration_per_bin: histograma de 4000 bins de 0,1 dB ponderado por duração); nenhum epfd_histogram.csv/epfd_distribution.csv (grep to_csv/csv.writer vazio)</t>
  </si>
  <si>
    <t xml:space="preserve">Extra-normativo (boa prática). O que a norma cobre: S.1503-4 §D7.3 exige apenas statement do resultado (§D7.3.1), summary table (§D7.3.2, Tabela 17) e CDF table (§D7.3.3) — nenhum gráfico ou imagem é mandado; a distribuição (PDF) é exigida só como dado interno (§D7.1.1, §D1.4).</t>
  </si>
  <si>
    <t xml:space="preserve">A norma não exige nenhum gráfico: o formato de saída do §D7.3 restringe-se a veredito, tabela-resumo (Tabela 17) e tabela de CDF, logo um histograma da distribuição de EPFD em .png/.pdf é Extra-normativo (boa prática de visualização). O código não possui gráfico de histograma algum: o único PNG (wcg_epfd_results.png do CLI) traz série temporal, CDF, contagem de satélites e α mínimo, e streamlit_app/lib/plots.py não tem função de histograma. Gap concreto: requisito integralmente não atendido, mas sem respaldo normativo — e depende de antes expor a PDF interna de R13.</t>
  </si>
  <si>
    <t xml:space="preserve">src/main.py:plot_results (painéis: EPFD vs tempo, CDF, nº de satélites, α mínimo — sem histograma); streamlit_app/lib/plots.py (funções: ccdf_chart, epfd_timeline_chart, percentiles_chart, globe_chart — nenhum histograma)</t>
  </si>
  <si>
    <t xml:space="preserve">Extra-normativo (boa prática). O que a norma cobre: S.1503-4 §D5.1.4.1 calcula epfd↓ a cada passo (Steps 10-23) mas manda reter apenas a estatística em bins (Step 24: incrementar por (Tstep/Tfine) entradas); §D7.2 exige como background somente "pfd data generated in the software run (including antenna diameter) and reference antenna pattern" + tabela de limites; §D7.3 não lista série temporal entre as saídas.</t>
  </si>
  <si>
    <t xml:space="preserve">A norma calcula epfd em cada time-step mas só exige reter a estatística agregada: o Step 24 do §D5.1.4.1 acumula nos bins de 0,1 dB, e nem o background do §D7.2 nem o formato do §D7.3 incluem série temporal — o export de epfd vs tempo é Extra-normativo (útil para auditoria e depuração). O código exporta a série apenas no fluxo CLI/viewer (chave time_steps em sim_data.json), decimada a ~10 mil pontos por padrão (série completa exige --keep-full-history, custo O(N) de RAM); os workers Streamlit não persistem série alguma. Gap concreto: sem epfd_timeseries.csv e sem série nos runs da UI; ressalve-se que a decimação do traço não fere a norma, pois as estatísticas normativas (PDF/CDF) continuam computadas sobre todos os passos.</t>
  </si>
  <si>
    <t xml:space="preserve">src/export_visualization.py:_build_time_series_list (linhas 76-112, time_steps em sim_data.json); src/epfd_stream_accumulator.py:29 (DECIM_TARGET_POINTS=10000, traço decimado adaptativo); src/epfd_calculator.py:967 e src/main.py:2190,2889 (keep_full_history, flag CLI); s1503_worker.py/s1588_worker.py não gravam série temporal</t>
  </si>
  <si>
    <t xml:space="preserve">Extra-normativo (boa prática). O que a norma cobre: S.1503-4 §D7.3 define a saída apenas como statement + summary table + CDF table, sem prescrever qualquer contêiner de arquivo ou requisito de compressão/eficiência de armazenamento; a própria série temporal não é saída mandada (cf. §D5.1.4.1 Step 24 e §D7.2).</t>
  </si>
  <si>
    <t xml:space="preserve">A norma nada diz sobre formatos comprimidos ou eficientes: o §D7.3 exige somente veredito, tabela-resumo e tabela de CDF, sem prescrever contêiner — .csv.gz/.parquet para a série temporal de EPFD é Extra-normativo (boa prática para runs longos). O código não exporta série de EPFD em formato comprimido algum: o único Parquet do repositório é o de orbit tracks (posições ECEF para o viewer Cesium em src/orbit_tracks_parquet.py), dataset distinto, e em runs grandes a série completa nem é retida (o acumulador O(1) guarda só histograma + traço decimado). Gap concreto: recurso inexistente e dependente de R15; sem exigência normativa, embora a infraestrutura pyarrow já exista para reaproveitamento.</t>
  </si>
  <si>
    <t xml:space="preserve">grep parquet/gzip/.gz em src/ e streamlit_app/: único uso é src/orbit_tracks_parquet.py (posições ECEF dos satélites para o viewer Cesium, via export_visualization.py:818-832) — nada para a série de EPFD</t>
  </si>
  <si>
    <t xml:space="preserve">Formato .html/.pdf = Extra-normativo (boa prática). Conteúdo normativo: S.1503-4 §D7.3 (saída = statement + summary table + CDF table); §D7.3.1 (Pass/Fail global conforme §D7.1.4 "should be output"); §D7.3.2 Tabela 17 (linha por ponto de especificação: Ji, Pi, Pass/fail, Py); §D7.3.3 (CDF usada na decisão, para informação); §D5 Step 27 ("Output results in format specified in § D7.3").</t>
  </si>
  <si>
    <t xml:space="preserve">A norma exige uma saída consolidada com três blocos (§D7.3): declaração Pass/Fail (§D7.3.1), tabela-resumo por ponto de especificação no modelo da Tabela 17 (§D7.3.2) e a CDF calculada (§D7.3.3) — sem prescrever HTML/PDF. O código não gera documento algum nesse formato lógico: os workers escrevem só summary.json e a página 8_Results.py é interativa, não exportável. Gap concreto: falta o relatório consolidado com a estrutura de §D7.3 (a escolha de .html/.pdf é extra-normativa; o conteúdo mandatório é que está ausente como documento).</t>
  </si>
  <si>
    <t xml:space="preserve">grep por weasyprint/fpdf/reportlab/pdfkit/jinja2/to_html em src/ e streamlit_app/ só encontra plotly fig.to_html embutido no viewer (streamlit_app/pages/C_Constellation.py:541,624); workers escrevem apenas summary.json (s1503_worker.py:435, s1588_worker.py:1058)</t>
  </si>
  <si>
    <t xml:space="preserve">S.1503-4 §D2.1 (cada run é definido por CreateRun com Direction, Service, Frequency=FrequencyRun, epfd_Threshold, Ref_BW); §C4.1 (XML de máscaras identificado por &lt;satellite_system ntc_id="NNNNNNN" sat_name="NAME"&gt;); §C4.2 Tabela 5 (cabeçalho da máscara pfd: mask_id, low_freq_mhz, high_freq_mhz, refbw_khz, type); Parte B, XML de parâmetros operacionais (campos ntc_id e sat_name). A repetição desses identificadores no arquivo-resumo é extra-normativa: §D7.3 não lista identificação do run na saída.</t>
  </si>
  <si>
    <t xml:space="preserve">A norma identifica a notificação (ntc_id/sat_name em §C4.1 e no XML da Parte B), a máscara (mask_id, faixa de frequência e refbw_khz na Tabela 5 de §C4.2) e o run (Direction/Service/Frequency em §D2.1), mas §D7.3 não obriga formalmente ecoar esses identificadores na saída. O código espalha os dados: ntc_id e mask_id em params.json, tipo de máscara inferível pela extensão, frequency_run_mhz em sim_data.json; sat_name só existe no caminho CLI/viewer. Gap: sat_name ausente nos artefatos da UI e nenhuma consolidação num resumo que associe inequivocamente o resultado ao run de §D2.1.</t>
  </si>
  <si>
    <t xml:space="preserve">streamlit_app/lib/launcher.py:71-88 (params.json com ntc_id, mask_id, mask_path); streamlit_app/lib/job_runners/s1503_worker.py:407-417 (sim_data.article22.frequency_run_mhz); src/export_visualization.py:1106-1110 (config.sat_name/ntc_id só no sim_data do viewer CLI)</t>
  </si>
  <si>
    <t xml:space="preserve">S.1503-4 §D7.2 (informação de fundo obrigatória: "pfd data generated in the software run (including antenna diameter) and reference antenna pattern" e "table of specification limits for various antenna diameters and reference antenna pattern"); §D2.1 (atributos do run vindos da Limits API: ES_DishSize, ES_GainPattern, Ref_BW); A2.1 Tabela 1 (BWref integra as unidades de pfd/epfd).</t>
  </si>
  <si>
    <t xml:space="preserve">Aqui o conteúdo é diretamente normativo: §D7.2 exige registrar como informação de fundo da decisão o diâmetro da antena e o padrão de referência usados no run, e §D2.1 define diâmetro (ES_DishSize), padrão (ES_GainPattern) e largura de banda de referência (Ref_BW) como atributos constitutivos de cada run. O código grava _epfd_rf_diam_cm, _epfd_rf_pattern_rr e reference_bandwidth_khz no bloco article22 do sim_data.json e exibe na página Results. Gap: apenas o veículo — falta o resumo consolidado de §D7.3 contendo essa informação de fundo, que hoje só existe em JSON e na tela.</t>
  </si>
  <si>
    <t xml:space="preserve">src/article22_tables.py:872-876 (art22.reference_bandwidth_khz, _epfd_rf_diam_cm, _epfd_rf_pattern_rr); s1503_worker.py:407-417 exporta o bloco article22 para sim_data.json; 8_Results.py _render_art22_scenario (linhas 390-412) exibe diâmetro, RefBW e padrão; src/export_visualization.py:1133-1134 (es_antenna_diameter_m/efficiency no config do viewer)</t>
  </si>
  <si>
    <t xml:space="preserve">S.1503-4 §D4.2 (passo fino de simulação downlink); §D4.6 (número total de passos/duração total); §D4.7.1 (dual time step: φcoarse = 1.5° e Ncoarse = Floor((Nhits·φcoarse)/φ3dB)); §E1 ("Time step and simulation duration – ... check the time step and simulation duration values generated by the software against the predicted values"). A publicação desses valores no arquivo-resumo é extra-normativa: §D7.3 não os lista na saída obrigatória.</t>
  </si>
  <si>
    <t xml:space="preserve">A norma define os valores (Tfine em §D4.2, Ncoarse/Tcoarse em §D4.7.1, total de passos em §D4.6) e a Parte E1 pressupõe que o software exponha passo de tempo e duração da simulação para conferência contra valores previstos — mas §D7.3 não os inclui entre os blocos obrigatórios de saída. O código exporta o bloco dual_time_step (fine_step_s, coarse_step_s, ncoarse, num_time_steps, n_fine/n_coarse) em sim_data.json e o renderiza em Results, atendendo ao conteúdo verificável de §E1. Gap: apenas o arquivo-resumo consolidado (R17) onde o requisito pede que isso apareça.</t>
  </si>
  <si>
    <t xml:space="preserve">streamlit_app/lib/job_runners/s1503_worker.py:310-334 (bloco dual_time_step com fine_step_s, coarse_step_s, ncoarse, num_time_steps, n_fine/n_coarse/n_exec); src/export_visualization.py:1136-1150 (config.dual_* no sim_data do viewer); 8_Results.py _render_time_step (linhas 320-387)</t>
  </si>
  <si>
    <t xml:space="preserve">S.1503-4 §D2.1 (cada run é criado com Direction = Down/Up/Intersatellite e, no downlink, Service = FSS/BSS); A2.1 Tabela 1 (epfd↓, epfd↑ e epfdis listadas como grandezas distintas, em dB(W/BWref)); §D7.3 combinado com §D2.1 (a saída reporta o resultado de um run, que só é interpretável junto ao seu Direction e limite associado).</t>
  </si>
  <si>
    <t xml:space="preserve">Na norma o tipo de epfd é atributo constitutivo do run — §D2.1 grava Direction=Down/Up/Intersatellite e Service=FSS/BSS em cada CreateRun — e A2.1 já distingue as três grandezas; associar o resultado ao limite correto do Artigo 22 pressupõe essa identificação. No código o tipo é apenas inferível (kind 's1503', chaves *_dbw_m2_40khz, art22_reference), pois o motor implementa somente epfd↓. Gap: falta campo explícito equivalente a Direction/Service de §D2.1 nos artefatos exportados (ex.: epfd_type: down).</t>
  </si>
  <si>
    <t xml:space="preserve">s1503_worker.py:292-305 (kind=s1503, chave max_epfd_dbw_m2_40khz); 8_Results.py (rótulos 'Max EPFD↓', eixo 'EPFD↓ x-axis range (dBW/m²/40 kHz)'); src/export_visualization.py:1169-1171 (art22_reference); memória: engine implementa apenas EPFD-down</t>
  </si>
  <si>
    <t xml:space="preserve">S.1503-4 §D7.1.3 (comparação por ponto de especificação: pares Ji/Pi lidos do banco, arredondamento a 0,1 dB, Pass/Fail por ponto; e comparação de Jmax com o limite J100 de 100% do tempo); §D7.1.4 (decisão global: Pass só se todos os pontos passam); §D7.3.1 (o Pass/Fail global "should be output"); §D7.3.2 Tabela 17 (resumo obrigatório: Ji dB(W/(m²·BWref)), Pi, Pass/fail, Py por ponto).</t>
  </si>
  <si>
    <t xml:space="preserve">A norma exige o veredito global (§D7.3.1/§D7.1.4) e uma tabela-resumo por ponto de especificação com Ji, Pi, o resultado Pass/fail e a probabilidade simulada Py (Tabela 17), além da comparação do máximo Jmax com o limite de 100% do tempo (§D7.1.3). O código calcula e exporta percentis fixos (10/1/0,1/0,01%), max_epfd_dbw_m2_40khz, pass/fail e worst_margin_dB em summary.json/sim_data.json (ComplianceResult). Gap: a estrutura da Tabela 17 (linha por ponto Ji/Pi do banco de limites, com Py e resultado individual) não é materializada em nenhum resumo — percentis fixos não substituem os pontos de especificação.</t>
  </si>
  <si>
    <t xml:space="preserve">s1503_worker.py:388-435 (percentiles via _extract_percentiles, max_epfd_dbw_m2_40khz, compliance pass/fail, compliance_detail.worst_margin_dB em sim_data.json e summary.json); src/epfd_calculator.py:2196-2276 (ComplianceResult.compliant/worst_margin_dB); 8_Results.py _render_metrics/_render_compliance</t>
  </si>
  <si>
    <t xml:space="preserve">S.1503-4 A2.1 Tabela 1 (sistema de unidades obrigatório para a descrição do software: distância km, ângulo grau, tempo s, frequência MHz, largura de banda kHz, potência dBW, pfd dB(W/(m²·BWref)), epfd↓/↑/is dB(W/BWref), ganho dBi); §D7.3.2 Tabela 17 (o valor de especificação aparece explicitamente com unidade: "Ji dB(W/(m²·BWref))").</t>
  </si>
  <si>
    <t xml:space="preserve">A norma fixa um sistema comum de unidades "to avoid errors" (A2.1 Tabela 1) e a própria Tabela 17 do resumo mostra o valor com a unidade dB(W/(m²·BWref)) — logo indicar unidades nos dados reportados tem respaldo normativo. O código embute unidades nos nomes de chave dos JSONs (max_epfd_dbw_m2_40khz, *_khz, *_s, frequency_run_mhz — coerentes com a Tabela 1), mas o dicionário de percentis traz valores sem unidade e o .xlsx de campanha (exports.py) despeja parâmetros como strings sem coluna/legenda de unidades. Gap: legenda ou metadado de unidades sistemático em todos os artefatos exportados, em particular xlsx e percentis.</t>
  </si>
  <si>
    <t xml:space="preserve">Chaves com unidade embutida: max_epfd_dbw_m2_40khz, ccdf_bins_db, fine_step_s, reference_bandwidth_khz, frequency_run_mhz (s1503_worker.py:292-334, 407-417); streamlit_app/lib/exports.py:50-66 (aba params do xlsx serializa valores com str() sem coluna de unidade); percentis exportados como {'10%': valor} sem unidade no valor</t>
  </si>
  <si>
    <t xml:space="preserve">As abas cdf/pdf/results/result_def/run_def não constam da S.1503-4 (grep sem ocorrências de EPFDResults/run_def/result_def; são o formato de saída da implementação BR/GIBC citada em §F2) — o container .xlsx é Extra-normativo. O conteúdo, porém, mapeia para blocos normativos: aba cdf ↔ §D7.3.3 (CDF calculada, para informação); aba pdf ↔ §D7.1.1 (PDF de níveis de pfd gerada pela simulação); aba results ↔ §D7.3.1 (statement Pass/Fail) + §D7.3.2 Tabela 17; aba result_def ↔ tabela de limites de especificação (§D7.2, 2º item; pares Ji/Pi de §D7.1.3); aba run_def ↔ informação de fundo do run (§D7.2, 1º item; atributos do run de §D2.1).</t>
  </si>
  <si>
    <t xml:space="preserve">A norma não exige planilha nem nomeia essas abas — são o formato EPFDResults da ferramenta da BR —, mas cada aba corresponde a conteúdo mandatório de §D7: cdf↔D7.3.3, pdf↔D7.1.1, results↔D7.3.1/D7.3.2, result_def↔limites Ji/Pi, run_def↔dados de fundo (D7.2/D2.1). O código exporta xlsx apenas no nível de campanha (abas campaign/runs/params, sem CDF/PDF/percentis) e mdb_results.py só importa a tabela cdf de MDBs da ITU para comparação. Gap: exportar as tabelas de conteúdo normativo (CDF, PDF, resultados por ponto de especificação, definição de limites e do run) — o container xlsx/abas ITU é opcional, mas facilitaria comparação direta com a ferramenta da BR.</t>
  </si>
  <si>
    <t xml:space="preserve">streamlit_app/lib/exports.py campaign_to_xlsx (abas 'campaign', 'runs', 'params'); streamlit_app/pages/9_Campaign.py:60-66 (download do xlsx); streamlit_app/lib/mdb_results.py apenas LÊ a tabela 'cdf' de MDBs externos para overlay</t>
  </si>
  <si>
    <t xml:space="preserve">Extra-normativo (boa prática) quanto ao formato .csv. O que a norma cobre: S.1503-4 §D7.3 (a saída deve incluir summary table e CDF table); §D7.3.2 Tabela 17 (campos obrigatórios da tabela-resumo); §D7.3.3 ("The output should include for information the calculated CDF which was used in the decision-making process").</t>
  </si>
  <si>
    <t xml:space="preserve">A norma obriga publicar tabelas — a tabela-resumo da Tabela 17 e a CDF usada na decisão (§D7.3.2/§D7.3.3) — mas não prescreve CSV nem qualquer formato de arquivo. No código não existe nenhuma exportação CSV (nenhum to_csv/csv.writer; únicos downloads são o xlsx de campanha e os arquivos brutos do run), e as tabelas de resultado existem só como JSON e gráficos Plotly. Gap: as duas tabelas normativas de §D7.3 não saem em nenhuma forma tabular exportável; o CSV em si é escolha extra-normativa de implementação.</t>
  </si>
  <si>
    <t xml:space="preserve">grep por to_csv/.csv em streamlit_app/ não retorna nenhum código de exportação (só leituras de máscara CSV em src/pfd_mask.py); únicos download_button são o xlsx de campanha (9_Campaign.py:61) e os arquivos brutos do run (8_Results.py:887)</t>
  </si>
  <si>
    <t xml:space="preserve">Extra-normativo (boa prática) quanto ao rótulo explícito de proveniência nos resultados. O que a norma cobre: Attachment à Parte B ("If the extended set of system operating parameters are provided, then values should be taken from that XML file rather than the relevant SRS table" — precedência entre fontes SRS vs XML); §F2 ("This guarantees that the data published are also the data used in these examinations ... to ensure consistency and transparency towards administrations"); §E3 (parâmetros e software de geração da máscara entregues junto à BR, disponíveis em caso de disputa).</t>
  </si>
  <si>
    <t xml:space="preserve">A norma distingue as fontes de entrada (tabelas do SRS vs XML estendido, com regra de precedência no Attachment à Parte B) e exige consistência/transparência entre dado usado e dado publicado (§F2), mas não obriga um campo de proveniência nos artefatos de saída. No código a origem é apenas inferível: params.json carrega srs_path/mask_path (.mdb) e o sim_data do caminho YAML paramétrico fica com ntc_id/sat_name nulos, sem campo explícito 'MDB' vs 'entrada manual'. Gap: etiquetar a proveniência dos dados nos artefatos exportados — exigência extra-normativa, porém alinhada ao princípio de rastreabilidade de §F2/§E3, tanto mais relevante porque o caminho paramétrico foge do fluxo SRS previsto na Parte B.</t>
  </si>
  <si>
    <t xml:space="preserve">params.json contém srs_path/mask_path/srs_relpath apontando para .mdb (launcher.py:71-88); streamlit_app/lib/srs_inspect.py:118 marca máscara com 'source': 'xml'; src/export_visualization.py:1106-1108 (sat_name/ntc_id vindos de _srs_system ficam None em config YAML paramétrico); nenhum campo explícito 'input_source'/'origin' encontrado</t>
  </si>
  <si>
    <t xml:space="preserve">S.1503-4 §C1 (é lícito não transmitir em certas latitudes → valor nulo −1000 dBW na máscara); §C2.1 ('The mitigation techniques used by the non-GSO system, such as the GSO arc avoidance, are implemented in the calculation of the pfd mask'; a zona de não-operação move-se com a latitude do ponto subsatélite); §C2.2 (descrição da mitigação: desligamento de feixe por observância cell-wide ou cell-centre da zona de não-operação delimitada por α0); §C2.4.1 Step 1 (elevação mínima de serviço) e Step 5 / §C2.4.2 Step 3 (a geração da máscara 'needs to take into account accurately the mitigation technique', com as regras de switch-off por iso-α0).</t>
  </si>
  <si>
    <t xml:space="preserve">A norma exige que as restrições operacionais entrem na geração da máscara: ângulo de evitação do arco GSO α0 com regra de desligamento cell-wide ou cell-centre (§C2.2, §C2.4.1 Step 5), elevação mínima de serviço (Step 1) e latitudes sem operação marcadas com −1000 dBW (§C1). Como não existe ferramenta de geração, não há entrada dessas restrições; os conceitos análogos no repositório estão do lado do motor de simulação — zona de exclusão α/X em src/epfd_calculator.py (Step 18 da Parte D) e min_operating_height_km (altitude, não latitude) em src/time_step.py e src/orbit_propagator.py — que consomem a máscara, não a produzem. Gap: implementar α0 + regra de observância + elevação mínima + faixas de latitude não operacionais como parâmetros da geração da máscara, refletidos nos valores pfd resultantes.</t>
  </si>
  <si>
    <t xml:space="preserve">src/epfd_calculator.py (zona de exclusão GSO/ângulo X do lado da simulação, Step 18); src/time_step.py e src/orbit_propagator.py (min_operating_height_km = altitude, não latitude); nenhum código de switch-off de feixe</t>
  </si>
  <si>
    <t xml:space="preserve">S.1503-4 §C1 ('define an envelope of the power radiated... regardless of what resource allocation and switching strategy are used'); §C2.1 (máscara = máximo pfd gerado por qualquer estação espacial visto de qualquer ponto da superfície da Terra); §C2.3.1 ('The pfd levels should be an envelope over all possible traffic and beam combinations and represent the peak pfd in the given direction feasible over the lifetime of the system'; antenas adaptativas devem tomar a combinação de maior pfd); §C2.4.1 Step 4 (soma das contribuições máximas limitada por N_co/N_cross e pela potência do repetidor) e Step 6 (pfd(α, ΔL) = max sobre os pontos M_α,k da iso-α); §C2.4.2 Step 2 (máximo por ponto M(Az, El)).</t>
  </si>
  <si>
    <t xml:space="preserve">A norma define a máscara como envelope máximo: em cada direção toma-se o pico de pfd sobre todas as combinações permitidas de tráfego/feixes/polarização (§C2.3.1), com a soma limitada por N_co/N_cross e pelo repetidor e o máximo tomado ao longo da iso-α ou da grade az/el (§C2.4.1 Steps 4/6, §C2.4.2 Step 2), já descontados os feixes desligados por mitigação (§C1, §C2.2). Não existe no código nenhum cálculo desse envelope: as únicas ocorrências de 'envelope' são o envelope de CCDFs do estudo S.1588 (streamlit_app/lib/job_runners/s1588_worker.py) e um comentário em src/antenna.py:16 sobre padrões ITU. Gap: implementar a maximização do §C2.4 (combinações de feixes ativos × polarização × potência, restritas por N_co/N_cross/repetidor e mitigação) para cada ponto da grade da máscara.</t>
  </si>
  <si>
    <t xml:space="preserve">grep -riE 'envelope' — únicos hits: streamlit_app/lib/job_runners/s1588_worker.py (envelope de CCDF entre percentis, contexto S.1588) e src/antenna.py:16 (comentário sobre padrões ITU serem envelopes)</t>
  </si>
  <si>
    <t xml:space="preserve">S.1503-4 §C2.1 ('Whatever parameters are used to generate the pfd mask, the resulting pfd mask should be converted to one of the format options above' — lat×α×ΔLong ou lat×az×el); §B4.1 (dimensões e RefBW da máscara pfd de enlace descendente); §C4.1 ('The pfd masks are to be provided to the ITU BR in XML format'; cabeçalho obrigatório com Notice ID, nome do satélite, Mask ID, frequências mín/máx em MHz, banda de referência em kHz, tipo e parâmetros; um mask por arquivo XML; elemento raiz &lt;satellite_system ntc_id sat_name&gt;); §C4.2 Tabela 5 (header &lt;pfd_mask mask_id low_freq_mhz high_freq_mhz refbw_khz type={alpha_deltaLongitude, azimuth_elevation} a_name=latitude b_name c_name&gt;; estrutura aninhada &lt;by_a&gt;/&lt;by_b&gt;/&lt;pfd c=…&gt;; preenchimento de grade parcial por extensão de borda e interpolação linear); §B5.3 (validação dos arquivos XML de máscaras/parâmetros operacionais).</t>
  </si>
  <si>
    <t xml:space="preserve">A norma exige que a máscara gerada seja convertida a um dos dois formatos do §C2.1 e entregue ao BR em XML no esquema do §C4.2 (raiz satellite_system, header pfd_mask com mask_id/low_freq_mhz/high_freq_mhz/refbw_khz/type/a-b-c_name e grades by_a/by_b/pfd), um mask por arquivo (§C4.1), sujeito à validação do §B5.3. O código não tem escritor nesse formato: src/pfd_mask.py lê ambas as grades (lat×α×ΔLong e lat×az×el) mas exporta apenas JSON (linha ~587), e src/mask_converter.py:494 converte entre os dois sistemas só em memória, sem chamadores em CLI/UI. Gap: implementar o serializador XML conforme §C4.2/Tabela 5 (e a conversão obrigatória do §C2.1 quando a geração usar outra parametrização), já que sem ele nenhuma máscara gerada seria aceitável como entrada da Parte D ou submissível ao BR.</t>
  </si>
  <si>
    <t xml:space="preserve">src/mask_converter.py:494 convert_mask() (conversão em memória entre lat×alpha×ΔLong e lat×az×el de máscaras já existentes, sem chamadores em main.py/UI); src/pfd_mask.py:587 (export apenas em JSON)</t>
  </si>
  <si>
    <t xml:space="preserve">Revisão à luz de: Rec. ITU-R S.1503-4 (09/2023) · SNS Database Format v10.5 (AP4) · SRS Diagram v10.1 — auditoria do código em 2026-07-03, branch feat/wcga-no-geometry-error. STATUS: Implementado = funcional com evidência; Parcial = parte existe (ver observações); Não implementado = inexistente. 'Extra-normativo' no fundamento = requisito além do exigido pela S.1503-4 (boa prática). Aba original preservada em REQUISITOS_INPUT&amp;OUTPUT.</t>
  </si>
  <si>
    <t xml:space="preserve">GLOSSÁRIO — siglas e termos usados nesta aba (para não precisar abrir os documentos)</t>
  </si>
  <si>
    <t xml:space="preserve">OSG / não-OSG — OSG = órbita dos satélites geoestacionários (GSO); não-OSG = sistema/órbita NÃO-geoestacionário (non-GSO, NGSO).</t>
  </si>
  <si>
    <t xml:space="preserve">GSO / NGSO — geoestacionário (satélite fixo sobre o equador, ~35 786 km) / não-geoestacionário (constelações LEO/MEO/HEO).</t>
  </si>
  <si>
    <t xml:space="preserve">EPFD / epfd↓ — densidade de fluxo de potência equivalente; ↓ = downlink (espaço→Terra). É a interferência agregada que a Rec. S.1503-4 calcula.</t>
  </si>
  <si>
    <t xml:space="preserve">PFD — densidade de fluxo de potência (power flux density). 'Máscara PFD' = envelope da PFD emitida pelo satélite non-GSO (Parte C).</t>
  </si>
  <si>
    <t xml:space="preserve">WCG / WCGA — geometria de pior caso / algoritmo que a busca (worst-case geometry, §D3.1).</t>
  </si>
  <si>
    <t xml:space="preserve">ES — estação terrena (earth station); 'ES vítima' = a estação terrena GSO protegida contra a interferência.</t>
  </si>
  <si>
    <t xml:space="preserve">Art. 22 (RR) — Artigo 22 do Regulamento de Radiocomunicações: limites de epfd↓ que o non-GSO não pode exceder.</t>
  </si>
  <si>
    <t xml:space="preserve">Res. 76 — Resolução 76 (WRC-2000): limites AGREGADOS de epfd↓ (soma de vários sistemas non-GSO).</t>
  </si>
  <si>
    <t xml:space="preserve">SNS — Space Network Systems: formato do banco de dados de notificações da UIT (define os campos, incl. AP4).</t>
  </si>
  <si>
    <t xml:space="preserve">SRS — Space Radiocommunication Stations: banco/diagrama de dados da UIT de onde vêm os parâmetros orbitais.</t>
  </si>
  <si>
    <t xml:space="preserve">AP4 (Ap. 4) — Apêndice 4 do RR: define os campos da notificação (ex. A.4.b.3.b = tipo de configuração).</t>
  </si>
  <si>
    <t xml:space="preserve">BR — Bureau de Radiocomunicações da UIT (Radiocommunication Bureau); roda o software de exame oficial.</t>
  </si>
  <si>
    <t xml:space="preserve">MDB — arquivo Microsoft Access (.mdb): formato dos filings (SRS + máscara) da UIT.</t>
  </si>
  <si>
    <t xml:space="preserve">XML — formato alternativo de entrada de parâmetros/máscara (§B3.3, §C4.2).</t>
  </si>
  <si>
    <t xml:space="preserve">ntc_id — identificador único da notificação (notice id).</t>
  </si>
  <si>
    <t xml:space="preserve">RefBW / BWref — largura de banda de referência da PFD/EPFD (ex. 40 kHz no Ka).</t>
  </si>
  <si>
    <t xml:space="preserve">α (alpha) / α₀ — ângulo topocêntrico entre o satélite non-GSO e o arco GSO (§D6.4.4); α₀ = ângulo de exclusão (zona ao redor do arco GSO).</t>
  </si>
  <si>
    <t xml:space="preserve">ΔLong — diferença de longitude usada na máscara Opção 1 (Long do ponto-α − Long do ponto subsatélite).</t>
  </si>
  <si>
    <t xml:space="preserve">az / el — azimute / elevação no frame local do satélite (máscara Opção 2).</t>
  </si>
  <si>
    <t xml:space="preserve">N_co / N_cross — nº máx. de feixes co-frequência simultâneos na MESMA polarização / na polarização OPOSTA (§C2.3.1).</t>
  </si>
  <si>
    <t xml:space="preserve">XPD — discriminação cross-polar (quanto o feixe vaza na polarização oposta, em dB).</t>
  </si>
  <si>
    <t xml:space="preserve">pol — sentido de polarização do feixe (A/B ≙ RHCP/LHCP ou H/V).</t>
  </si>
  <si>
    <t xml:space="preserve">steerable / fixo-ao-corpo — antena que aponta para célula fixa no solo (rastreio) / apontamento fixo no frame do satélite (célula anda com o satélite) — §C2.4.</t>
  </si>
  <si>
    <t xml:space="preserve">a, e, i — elementos orbitais: semieixo maior, excentricidade, inclinação. Ω/RAAN = ascensão reta do nó; long_asc/LAN = longitude do nó; ω = argumento do perigeu; ν/M = anomalia verdadeira/média.</t>
  </si>
  <si>
    <t xml:space="preserve">J2 — termo de achatamento da Terra que causa a precessão secular do nó (§D6.3).</t>
  </si>
  <si>
    <t xml:space="preserve">Wdelta — faixa de manutenção de estação (station keeping range, graus).</t>
  </si>
  <si>
    <t xml:space="preserve">ε₀ / εGSO — elevação mínima: ε₀ da ES non-GSO; εGSO = elevação mínima do arco GSO (Tabela 8).</t>
  </si>
  <si>
    <t xml:space="preserve">multi_config_typ / nbr_config / orbit_set_id — campos AP4 (A.4.b.3.b/c/d) de configurações orbitais MUTUAMENTE EXCLUSIVAS ('M' = múltiplas; cada uma roda separada).</t>
  </si>
  <si>
    <t xml:space="preserve">CCDF — função de distribuição acumulada complementar: % do tempo em que a EPFD é excedida (a curva de resultado).</t>
  </si>
  <si>
    <t xml:space="preserve">PDF / histograma — distribuição da EPFD por faixa (bins de 0,1 dB).</t>
  </si>
  <si>
    <t xml:space="preserve">Table 17 / §D7.3 — tabela normativa do resultado do exame (aprovado/reprovado por ponto do Art. 22), Rec. S.1503-4 §D7.3.</t>
  </si>
  <si>
    <t xml:space="preserve">§B / §C / §D (S.1503-4) — seções da Rec.: B = entradas; C = geração da máscara PFD; D = algoritmo de exame (WCG + EPFD).</t>
  </si>
  <si>
    <t xml:space="preserve">S.1503-4 / S.1428 / BO.1443 — Recomendações ITU-R: metodologia epfd / padrão de antena da ES FSS / padrão de antena BSS.</t>
  </si>
</sst>
</file>

<file path=xl/styles.xml><?xml version="1.0" encoding="utf-8"?>
<styleSheet xmlns="http://schemas.openxmlformats.org/spreadsheetml/2006/main">
  <numFmts count="9">
    <numFmt numFmtId="164" formatCode="General"/>
    <numFmt numFmtId="165" formatCode="yyyy\-mm\-dd;@"/>
    <numFmt numFmtId="166" formatCode="@"/>
    <numFmt numFmtId="167" formatCode="#,##0"/>
    <numFmt numFmtId="168" formatCode="0.000000"/>
    <numFmt numFmtId="169" formatCode="0"/>
    <numFmt numFmtId="170" formatCode="#,##0.00"/>
    <numFmt numFmtId="171" formatCode="yyyy\-mm\-dd"/>
    <numFmt numFmtId="172" formatCode="m/d/yyyy"/>
  </numFmts>
  <fonts count="24">
    <font>
      <sz val="11"/>
      <name val="Calibri"/>
      <family val="0"/>
      <charset val="1"/>
    </font>
    <font>
      <sz val="10"/>
      <name val="Arial"/>
      <family val="0"/>
    </font>
    <font>
      <sz val="10"/>
      <name val="Arial"/>
      <family val="0"/>
    </font>
    <font>
      <sz val="10"/>
      <name val="Arial"/>
      <family val="0"/>
    </font>
    <font>
      <b val="true"/>
      <sz val="12"/>
      <color rgb="FFFFFF00"/>
      <name val="Calibri"/>
      <family val="2"/>
      <charset val="1"/>
    </font>
    <font>
      <b val="true"/>
      <sz val="9"/>
      <name val="Calibri"/>
      <family val="2"/>
      <charset val="1"/>
    </font>
    <font>
      <b val="true"/>
      <sz val="9"/>
      <color rgb="FFFF0000"/>
      <name val="Calibri"/>
      <family val="2"/>
      <charset val="1"/>
    </font>
    <font>
      <b val="true"/>
      <sz val="9"/>
      <name val="Calibri"/>
      <family val="0"/>
      <charset val="1"/>
    </font>
    <font>
      <sz val="9"/>
      <name val="Calibri"/>
      <family val="0"/>
      <charset val="1"/>
    </font>
    <font>
      <sz val="10"/>
      <name val="Calibri"/>
      <family val="2"/>
      <charset val="1"/>
    </font>
    <font>
      <sz val="10"/>
      <color rgb="FFFF0000"/>
      <name val="Calibri"/>
      <family val="2"/>
      <charset val="1"/>
    </font>
    <font>
      <sz val="10"/>
      <color theme="1"/>
      <name val="Calibri"/>
      <family val="2"/>
      <charset val="1"/>
    </font>
    <font>
      <sz val="8"/>
      <name val="Calibri"/>
      <family val="2"/>
      <charset val="1"/>
    </font>
    <font>
      <b val="true"/>
      <sz val="11"/>
      <color rgb="FFFFFFFF"/>
      <name val="Calibri"/>
      <family val="2"/>
      <charset val="1"/>
    </font>
    <font>
      <b val="true"/>
      <sz val="11"/>
      <name val="Calibri"/>
      <family val="2"/>
      <charset val="1"/>
    </font>
    <font>
      <sz val="11"/>
      <name val="Calibri"/>
      <family val="2"/>
      <charset val="1"/>
    </font>
    <font>
      <b val="true"/>
      <sz val="9"/>
      <name val="Cambria"/>
      <family val="0"/>
      <charset val="1"/>
    </font>
    <font>
      <sz val="9"/>
      <name val="Cambria"/>
      <family val="0"/>
      <charset val="1"/>
    </font>
    <font>
      <b val="true"/>
      <sz val="9"/>
      <color rgb="FF9C0006"/>
      <name val="Cambria"/>
      <family val="0"/>
      <charset val="1"/>
    </font>
    <font>
      <b val="true"/>
      <sz val="9"/>
      <color rgb="FF9C6500"/>
      <name val="Cambria"/>
      <family val="0"/>
      <charset val="1"/>
    </font>
    <font>
      <b val="true"/>
      <sz val="9"/>
      <color rgb="FF006100"/>
      <name val="Cambria"/>
      <family val="0"/>
      <charset val="1"/>
    </font>
    <font>
      <i val="true"/>
      <sz val="8"/>
      <color rgb="FF666666"/>
      <name val="Cambria"/>
      <family val="0"/>
      <charset val="1"/>
    </font>
    <font>
      <b val="true"/>
      <sz val="12"/>
      <name val="Cambria"/>
      <family val="0"/>
      <charset val="1"/>
    </font>
    <font>
      <sz val="10"/>
      <name val="Cambria"/>
      <family val="0"/>
      <charset val="1"/>
    </font>
  </fonts>
  <fills count="9">
    <fill>
      <patternFill patternType="none"/>
    </fill>
    <fill>
      <patternFill patternType="gray125"/>
    </fill>
    <fill>
      <patternFill patternType="solid">
        <fgColor theme="0"/>
        <bgColor rgb="FFDDEBF7"/>
      </patternFill>
    </fill>
    <fill>
      <patternFill patternType="solid">
        <fgColor rgb="FF1F4E78"/>
        <bgColor rgb="FF003366"/>
      </patternFill>
    </fill>
    <fill>
      <patternFill patternType="solid">
        <fgColor rgb="FFDDEBF7"/>
        <bgColor rgb="FFCCFFFF"/>
      </patternFill>
    </fill>
    <fill>
      <patternFill patternType="solid">
        <fgColor theme="5" tint="0.7999"/>
        <bgColor rgb="FFFFEB9C"/>
      </patternFill>
    </fill>
    <fill>
      <patternFill patternType="solid">
        <fgColor rgb="FFFFC7CE"/>
        <bgColor rgb="FFFBE3D6"/>
      </patternFill>
    </fill>
    <fill>
      <patternFill patternType="solid">
        <fgColor rgb="FFFFEB9C"/>
        <bgColor rgb="FFFBE3D6"/>
      </patternFill>
    </fill>
    <fill>
      <patternFill patternType="solid">
        <fgColor rgb="FFC6EFCE"/>
        <bgColor rgb="FFDDEBF7"/>
      </patternFill>
    </fill>
  </fills>
  <borders count="24">
    <border diagonalUp="false" diagonalDown="false">
      <left/>
      <right/>
      <top/>
      <bottom/>
      <diagonal/>
    </border>
    <border diagonalUp="false" diagonalDown="false">
      <left style="medium"/>
      <right/>
      <top style="medium"/>
      <bottom style="thin"/>
      <diagonal/>
    </border>
    <border diagonalUp="false" diagonalDown="false">
      <left style="medium"/>
      <right style="medium"/>
      <top style="medium"/>
      <bottom style="medium"/>
      <diagonal/>
    </border>
    <border diagonalUp="false" diagonalDown="false">
      <left/>
      <right style="thin">
        <color rgb="FFBFBFBF"/>
      </right>
      <top style="medium"/>
      <bottom/>
      <diagonal/>
    </border>
    <border diagonalUp="false" diagonalDown="false">
      <left style="medium"/>
      <right style="thin">
        <color rgb="FFBFBFBF"/>
      </right>
      <top style="medium"/>
      <bottom/>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thin"/>
      <right style="medium"/>
      <top style="thin"/>
      <bottom style="thin"/>
      <diagonal/>
    </border>
    <border diagonalUp="false" diagonalDown="false">
      <left style="medium"/>
      <right style="thin"/>
      <top/>
      <bottom style="thin"/>
      <diagonal/>
    </border>
    <border diagonalUp="false" diagonalDown="false">
      <left style="thin"/>
      <right style="thin"/>
      <top/>
      <bottom style="thin"/>
      <diagonal/>
    </border>
    <border diagonalUp="false" diagonalDown="false">
      <left style="thin"/>
      <right style="medium"/>
      <top/>
      <bottom style="thin"/>
      <diagonal/>
    </border>
    <border diagonalUp="false" diagonalDown="false">
      <left style="thin"/>
      <right/>
      <top/>
      <bottom style="thin"/>
      <diagonal/>
    </border>
    <border diagonalUp="false" diagonalDown="false">
      <left/>
      <right style="thin"/>
      <top/>
      <bottom style="thin"/>
      <diagonal/>
    </border>
    <border diagonalUp="false" diagonalDown="false">
      <left style="medium"/>
      <right style="thin"/>
      <top style="thin">
        <color rgb="FFBFBFBF"/>
      </top>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medium"/>
      <right style="thin"/>
      <top style="thin">
        <color rgb="FFBFBFBF"/>
      </top>
      <bottom style="medium"/>
      <diagonal/>
    </border>
    <border diagonalUp="false" diagonalDown="false">
      <left style="thin"/>
      <right/>
      <top style="thin"/>
      <bottom style="medium"/>
      <diagonal/>
    </border>
    <border diagonalUp="false" diagonalDown="false">
      <left/>
      <right style="thin"/>
      <top style="thin"/>
      <bottom style="mediu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7C4D6"/>
      </left>
      <right style="thin">
        <color rgb="FFB7C4D6"/>
      </right>
      <top style="thin">
        <color rgb="FFB7C4D6"/>
      </top>
      <bottom style="thin">
        <color rgb="FFB7C4D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1">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2" borderId="0" xfId="0" applyFont="fals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6" fontId="0" fillId="2" borderId="0" xfId="0" applyFont="false" applyBorder="false" applyAlignment="true" applyProtection="false">
      <alignment horizontal="general" vertical="bottom" textRotation="0" wrapText="false" indent="0" shrinkToFit="false"/>
      <protection locked="true" hidden="false"/>
    </xf>
    <xf numFmtId="167" fontId="0" fillId="2" borderId="0" xfId="0" applyFont="false" applyBorder="false" applyAlignment="true" applyProtection="false">
      <alignment horizontal="general" vertical="bottom" textRotation="0" wrapText="false" indent="0" shrinkToFit="false"/>
      <protection locked="true" hidden="false"/>
    </xf>
    <xf numFmtId="168" fontId="0" fillId="2" borderId="0" xfId="0" applyFont="false" applyBorder="false" applyAlignment="true" applyProtection="false">
      <alignment horizontal="general" vertical="bottom" textRotation="0" wrapText="false" indent="0" shrinkToFit="false"/>
      <protection locked="true" hidden="false"/>
    </xf>
    <xf numFmtId="169" fontId="0" fillId="2" borderId="0" xfId="0" applyFont="false" applyBorder="false" applyAlignment="true" applyProtection="false">
      <alignment horizontal="general" vertical="bottom" textRotation="0" wrapText="false" indent="0" shrinkToFit="false"/>
      <protection locked="true" hidden="false"/>
    </xf>
    <xf numFmtId="164" fontId="4" fillId="3" borderId="1" xfId="0" applyFont="true" applyBorder="true" applyAlignment="true" applyProtection="false">
      <alignment horizontal="center" vertical="center" textRotation="0" wrapText="true" indent="0" shrinkToFit="false"/>
      <protection locked="true" hidden="false"/>
    </xf>
    <xf numFmtId="164" fontId="4" fillId="3" borderId="2" xfId="0" applyFont="true" applyBorder="true" applyAlignment="true" applyProtection="false">
      <alignment horizontal="center" vertical="center" textRotation="0" wrapText="true" indent="0" shrinkToFit="false"/>
      <protection locked="true" hidden="false"/>
    </xf>
    <xf numFmtId="164" fontId="4" fillId="3" borderId="3" xfId="0" applyFont="true" applyBorder="true" applyAlignment="true" applyProtection="false">
      <alignment horizontal="center" vertical="center" textRotation="0" wrapText="true" indent="0" shrinkToFit="false"/>
      <protection locked="true" hidden="false"/>
    </xf>
    <xf numFmtId="164" fontId="4" fillId="3" borderId="4" xfId="0" applyFont="true" applyBorder="true" applyAlignment="true" applyProtection="false">
      <alignment horizontal="center" vertical="center" textRotation="0" wrapText="true" indent="0" shrinkToFit="false"/>
      <protection locked="true" hidden="false"/>
    </xf>
    <xf numFmtId="165" fontId="5" fillId="4" borderId="5" xfId="0" applyFont="true" applyBorder="true" applyAlignment="true" applyProtection="false">
      <alignment horizontal="center" vertical="center" textRotation="0" wrapText="true" indent="0" shrinkToFit="false"/>
      <protection locked="true" hidden="false"/>
    </xf>
    <xf numFmtId="164" fontId="5" fillId="4" borderId="6" xfId="0" applyFont="true" applyBorder="true" applyAlignment="true" applyProtection="false">
      <alignment horizontal="center" vertical="center" textRotation="0" wrapText="true" indent="0" shrinkToFit="false"/>
      <protection locked="true" hidden="false"/>
    </xf>
    <xf numFmtId="166" fontId="5" fillId="4" borderId="6" xfId="0" applyFont="true" applyBorder="true" applyAlignment="true" applyProtection="false">
      <alignment horizontal="center" vertical="center" textRotation="0" wrapText="true" indent="0" shrinkToFit="false"/>
      <protection locked="true" hidden="false"/>
    </xf>
    <xf numFmtId="164" fontId="6" fillId="4" borderId="7" xfId="0" applyFont="true" applyBorder="true" applyAlignment="true" applyProtection="false">
      <alignment horizontal="center" vertical="center" textRotation="0" wrapText="true" indent="0" shrinkToFit="false"/>
      <protection locked="true" hidden="false"/>
    </xf>
    <xf numFmtId="164" fontId="5" fillId="4" borderId="8" xfId="0" applyFont="true" applyBorder="true" applyAlignment="true" applyProtection="false">
      <alignment horizontal="center" vertical="center" textRotation="0" wrapText="true" indent="0" shrinkToFit="false"/>
      <protection locked="true" hidden="false"/>
    </xf>
    <xf numFmtId="164" fontId="5" fillId="4" borderId="9" xfId="0" applyFont="true" applyBorder="true" applyAlignment="true" applyProtection="false">
      <alignment horizontal="center" vertical="center" textRotation="0" wrapText="true" indent="0" shrinkToFit="false"/>
      <protection locked="true" hidden="false"/>
    </xf>
    <xf numFmtId="167" fontId="7" fillId="5" borderId="9" xfId="0" applyFont="true" applyBorder="true" applyAlignment="true" applyProtection="false">
      <alignment horizontal="center" vertical="center" textRotation="0" wrapText="true" indent="0" shrinkToFit="false"/>
      <protection locked="true" hidden="false"/>
    </xf>
    <xf numFmtId="167" fontId="5" fillId="4" borderId="9" xfId="0" applyFont="true" applyBorder="true" applyAlignment="true" applyProtection="false">
      <alignment horizontal="center" vertical="center" textRotation="0" wrapText="true" indent="0" shrinkToFit="false"/>
      <protection locked="true" hidden="false"/>
    </xf>
    <xf numFmtId="164" fontId="5" fillId="4" borderId="10" xfId="0" applyFont="true" applyBorder="true" applyAlignment="true" applyProtection="false">
      <alignment horizontal="center" vertical="center" textRotation="0" wrapText="true" indent="0" shrinkToFit="false"/>
      <protection locked="true" hidden="false"/>
    </xf>
    <xf numFmtId="164" fontId="5" fillId="4" borderId="5" xfId="0" applyFont="true" applyBorder="true" applyAlignment="true" applyProtection="false">
      <alignment horizontal="center" vertical="center" textRotation="0" wrapText="true" indent="0" shrinkToFit="false"/>
      <protection locked="true" hidden="false"/>
    </xf>
    <xf numFmtId="167" fontId="5" fillId="4" borderId="6" xfId="0" applyFont="true" applyBorder="true" applyAlignment="true" applyProtection="false">
      <alignment horizontal="center" vertical="center" textRotation="0" wrapText="true" indent="0" shrinkToFit="false"/>
      <protection locked="true" hidden="false"/>
    </xf>
    <xf numFmtId="167" fontId="7" fillId="4" borderId="6" xfId="0" applyFont="true" applyBorder="true" applyAlignment="true" applyProtection="false">
      <alignment horizontal="center" vertical="center" textRotation="0" wrapText="true" indent="0" shrinkToFit="false"/>
      <protection locked="true" hidden="false"/>
    </xf>
    <xf numFmtId="164" fontId="5" fillId="4" borderId="7" xfId="0" applyFont="true" applyBorder="true" applyAlignment="true" applyProtection="false">
      <alignment horizontal="center" vertical="center" textRotation="0" wrapText="true" indent="0" shrinkToFit="false"/>
      <protection locked="true" hidden="false"/>
    </xf>
    <xf numFmtId="168" fontId="5" fillId="4" borderId="5" xfId="0" applyFont="true" applyBorder="true" applyAlignment="true" applyProtection="false">
      <alignment horizontal="center" vertical="center" textRotation="0" wrapText="true" indent="0" shrinkToFit="false"/>
      <protection locked="true" hidden="false"/>
    </xf>
    <xf numFmtId="168" fontId="5" fillId="4" borderId="6" xfId="0" applyFont="true" applyBorder="true" applyAlignment="true" applyProtection="false">
      <alignment horizontal="center" vertical="center" textRotation="0" wrapText="true" indent="0" shrinkToFit="false"/>
      <protection locked="true" hidden="false"/>
    </xf>
    <xf numFmtId="169" fontId="5" fillId="4" borderId="6" xfId="0" applyFont="true" applyBorder="true" applyAlignment="true" applyProtection="false">
      <alignment horizontal="center" vertical="center" textRotation="0" wrapText="true" indent="0" shrinkToFit="false"/>
      <protection locked="true" hidden="false"/>
    </xf>
    <xf numFmtId="164" fontId="8" fillId="2" borderId="0" xfId="0" applyFont="true" applyBorder="false" applyAlignment="true" applyProtection="false">
      <alignment horizontal="general" vertical="bottom" textRotation="0" wrapText="false" indent="0" shrinkToFit="false"/>
      <protection locked="true" hidden="false"/>
    </xf>
    <xf numFmtId="165" fontId="9" fillId="0" borderId="5" xfId="0" applyFont="true" applyBorder="true" applyAlignment="true" applyProtection="false">
      <alignment horizontal="center" vertical="center" textRotation="0" wrapText="true" indent="0" shrinkToFit="false"/>
      <protection locked="true" hidden="false"/>
    </xf>
    <xf numFmtId="164" fontId="9" fillId="0" borderId="6" xfId="0" applyFont="true" applyBorder="true" applyAlignment="true" applyProtection="false">
      <alignment horizontal="center" vertical="center" textRotation="0" wrapText="true" indent="0" shrinkToFit="false"/>
      <protection locked="true" hidden="false"/>
    </xf>
    <xf numFmtId="166" fontId="9" fillId="0" borderId="6" xfId="0" applyFont="true" applyBorder="true" applyAlignment="true" applyProtection="false">
      <alignment horizontal="center" vertical="center" textRotation="0" wrapText="true" indent="0" shrinkToFit="false"/>
      <protection locked="true" hidden="false"/>
    </xf>
    <xf numFmtId="164" fontId="9" fillId="0" borderId="10" xfId="0" applyFont="true" applyBorder="true" applyAlignment="true" applyProtection="false">
      <alignment horizontal="center" vertical="center" textRotation="0" wrapText="true" indent="0" shrinkToFit="false"/>
      <protection locked="true" hidden="false"/>
    </xf>
    <xf numFmtId="164" fontId="9" fillId="0" borderId="8" xfId="0" applyFont="true" applyBorder="true" applyAlignment="true" applyProtection="false">
      <alignment horizontal="center" vertical="center" textRotation="0" wrapText="true" indent="0" shrinkToFit="false"/>
      <protection locked="true" hidden="false"/>
    </xf>
    <xf numFmtId="164" fontId="9" fillId="0" borderId="9" xfId="0" applyFont="true" applyBorder="true" applyAlignment="true" applyProtection="false">
      <alignment horizontal="center" vertical="center" textRotation="0" wrapText="true" indent="0" shrinkToFit="false"/>
      <protection locked="true" hidden="false"/>
    </xf>
    <xf numFmtId="170" fontId="9" fillId="0" borderId="9" xfId="0" applyFont="true" applyBorder="true" applyAlignment="true" applyProtection="false">
      <alignment horizontal="center" vertical="center" textRotation="0" wrapText="true" indent="0" shrinkToFit="false"/>
      <protection locked="true" hidden="false"/>
    </xf>
    <xf numFmtId="169" fontId="9" fillId="0" borderId="9" xfId="0" applyFont="true" applyBorder="true" applyAlignment="true" applyProtection="false">
      <alignment horizontal="center" vertical="center" textRotation="0" wrapText="true" indent="0" shrinkToFit="false"/>
      <protection locked="true" hidden="false"/>
    </xf>
    <xf numFmtId="167" fontId="9" fillId="5" borderId="11" xfId="0" applyFont="true" applyBorder="true" applyAlignment="true" applyProtection="false">
      <alignment horizontal="center" vertical="center" textRotation="0" wrapText="true" indent="0" shrinkToFit="false"/>
      <protection locked="true" hidden="false"/>
    </xf>
    <xf numFmtId="167" fontId="9" fillId="0" borderId="11" xfId="0" applyFont="true" applyBorder="true" applyAlignment="true" applyProtection="false">
      <alignment horizontal="center" vertical="center" textRotation="0" wrapText="true" indent="0" shrinkToFit="false"/>
      <protection locked="true" hidden="false"/>
    </xf>
    <xf numFmtId="169" fontId="9" fillId="0" borderId="10" xfId="0" applyFont="true" applyBorder="true" applyAlignment="true" applyProtection="false">
      <alignment horizontal="center" vertical="center" textRotation="0" wrapText="true" indent="0" shrinkToFit="false"/>
      <protection locked="true" hidden="false"/>
    </xf>
    <xf numFmtId="164" fontId="9" fillId="0" borderId="12" xfId="0" applyFont="true" applyBorder="true" applyAlignment="true" applyProtection="false">
      <alignment horizontal="center" vertical="center" textRotation="0" wrapText="true" indent="0" shrinkToFit="false"/>
      <protection locked="true" hidden="false"/>
    </xf>
    <xf numFmtId="171" fontId="9" fillId="0" borderId="9" xfId="0" applyFont="true" applyBorder="true" applyAlignment="true" applyProtection="false">
      <alignment horizontal="center" vertical="center" textRotation="0" wrapText="true" indent="0" shrinkToFit="false"/>
      <protection locked="true" hidden="false"/>
    </xf>
    <xf numFmtId="167" fontId="9" fillId="0" borderId="9" xfId="0" applyFont="true" applyBorder="true" applyAlignment="true" applyProtection="false">
      <alignment horizontal="center" vertical="center" textRotation="0" wrapText="true" indent="0" shrinkToFit="false"/>
      <protection locked="true" hidden="false"/>
    </xf>
    <xf numFmtId="168" fontId="9" fillId="0" borderId="8" xfId="0" applyFont="true" applyBorder="true" applyAlignment="true" applyProtection="false">
      <alignment horizontal="center" vertical="center" textRotation="0" wrapText="true" indent="0" shrinkToFit="false"/>
      <protection locked="true" hidden="false"/>
    </xf>
    <xf numFmtId="168" fontId="9" fillId="0" borderId="9" xfId="0" applyFont="true" applyBorder="true" applyAlignment="true" applyProtection="false">
      <alignment horizontal="center" vertical="center" textRotation="0" wrapText="true" indent="0" shrinkToFit="false"/>
      <protection locked="true" hidden="false"/>
    </xf>
    <xf numFmtId="169" fontId="9" fillId="0" borderId="11" xfId="0" applyFont="true" applyBorder="true" applyAlignment="true" applyProtection="false">
      <alignment horizontal="center" vertical="center" textRotation="0" wrapText="true" indent="0" shrinkToFit="false"/>
      <protection locked="true" hidden="false"/>
    </xf>
    <xf numFmtId="164" fontId="9" fillId="0" borderId="12" xfId="0" applyFont="true" applyBorder="true" applyAlignment="true" applyProtection="false">
      <alignment horizontal="left" vertical="center" textRotation="0" wrapText="true" indent="0" shrinkToFit="false"/>
      <protection locked="true" hidden="false"/>
    </xf>
    <xf numFmtId="169" fontId="9" fillId="0" borderId="6" xfId="0" applyFont="true" applyBorder="true" applyAlignment="true" applyProtection="false">
      <alignment horizontal="center" vertical="center" textRotation="0" wrapText="tru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5" fontId="10" fillId="0" borderId="5" xfId="0" applyFont="true" applyBorder="true" applyAlignment="true" applyProtection="false">
      <alignment horizontal="center" vertical="center" textRotation="0" wrapText="true" indent="0" shrinkToFit="false"/>
      <protection locked="true" hidden="false"/>
    </xf>
    <xf numFmtId="164" fontId="10" fillId="0" borderId="6" xfId="0" applyFont="true" applyBorder="true" applyAlignment="true" applyProtection="false">
      <alignment horizontal="center" vertical="center" textRotation="0" wrapText="true" indent="0" shrinkToFit="false"/>
      <protection locked="true" hidden="false"/>
    </xf>
    <xf numFmtId="166" fontId="10" fillId="0" borderId="6" xfId="0" applyFont="true" applyBorder="true" applyAlignment="true" applyProtection="false">
      <alignment horizontal="center" vertical="center" textRotation="0" wrapText="true" indent="0" shrinkToFit="false"/>
      <protection locked="true" hidden="false"/>
    </xf>
    <xf numFmtId="164" fontId="10" fillId="0" borderId="7" xfId="0" applyFont="true" applyBorder="true" applyAlignment="true" applyProtection="false">
      <alignment horizontal="center" vertical="center" textRotation="0" wrapText="true" indent="0" shrinkToFit="false"/>
      <protection locked="true" hidden="false"/>
    </xf>
    <xf numFmtId="164" fontId="10" fillId="0" borderId="13" xfId="0" applyFont="true" applyBorder="true" applyAlignment="true" applyProtection="false">
      <alignment horizontal="center" vertical="center" textRotation="0" wrapText="true" indent="0" shrinkToFit="false"/>
      <protection locked="true" hidden="false"/>
    </xf>
    <xf numFmtId="170" fontId="10" fillId="0" borderId="9" xfId="0" applyFont="true" applyBorder="true" applyAlignment="true" applyProtection="false">
      <alignment horizontal="center" vertical="center" textRotation="0" wrapText="true" indent="0" shrinkToFit="false"/>
      <protection locked="true" hidden="false"/>
    </xf>
    <xf numFmtId="169" fontId="10" fillId="0" borderId="9" xfId="0" applyFont="true" applyBorder="true" applyAlignment="true" applyProtection="false">
      <alignment horizontal="center" vertical="center" textRotation="0" wrapText="true" indent="0" shrinkToFit="false"/>
      <protection locked="true" hidden="false"/>
    </xf>
    <xf numFmtId="164" fontId="10" fillId="0" borderId="9" xfId="0" applyFont="true" applyBorder="true" applyAlignment="true" applyProtection="false">
      <alignment horizontal="center" vertical="center" textRotation="0" wrapText="true" indent="0" shrinkToFit="false"/>
      <protection locked="true" hidden="false"/>
    </xf>
    <xf numFmtId="167" fontId="10" fillId="5" borderId="11" xfId="0" applyFont="true" applyBorder="true" applyAlignment="true" applyProtection="false">
      <alignment horizontal="center" vertical="center" textRotation="0" wrapText="true" indent="0" shrinkToFit="false"/>
      <protection locked="true" hidden="false"/>
    </xf>
    <xf numFmtId="167" fontId="10" fillId="0" borderId="11" xfId="0" applyFont="true" applyBorder="true" applyAlignment="true" applyProtection="false">
      <alignment horizontal="center" vertical="center" textRotation="0" wrapText="true" indent="0" shrinkToFit="false"/>
      <protection locked="true" hidden="false"/>
    </xf>
    <xf numFmtId="169" fontId="10" fillId="0" borderId="10" xfId="0" applyFont="true" applyBorder="true" applyAlignment="true" applyProtection="false">
      <alignment horizontal="center" vertical="center" textRotation="0" wrapText="true" indent="0" shrinkToFit="false"/>
      <protection locked="true" hidden="false"/>
    </xf>
    <xf numFmtId="164" fontId="10" fillId="0" borderId="8" xfId="0" applyFont="true" applyBorder="true" applyAlignment="true" applyProtection="false">
      <alignment horizontal="center" vertical="center" textRotation="0" wrapText="true" indent="0" shrinkToFit="false"/>
      <protection locked="true" hidden="false"/>
    </xf>
    <xf numFmtId="164" fontId="10" fillId="0" borderId="12" xfId="0" applyFont="true" applyBorder="true" applyAlignment="true" applyProtection="false">
      <alignment horizontal="center" vertical="center" textRotation="0" wrapText="true" indent="0" shrinkToFit="false"/>
      <protection locked="true" hidden="false"/>
    </xf>
    <xf numFmtId="171" fontId="10" fillId="0" borderId="9" xfId="0" applyFont="true" applyBorder="true" applyAlignment="true" applyProtection="false">
      <alignment horizontal="center" vertical="center" textRotation="0" wrapText="true" indent="0" shrinkToFit="false"/>
      <protection locked="true" hidden="false"/>
    </xf>
    <xf numFmtId="167" fontId="10" fillId="0" borderId="9" xfId="0" applyFont="true" applyBorder="true" applyAlignment="true" applyProtection="false">
      <alignment horizontal="center" vertical="center" textRotation="0" wrapText="true" indent="0" shrinkToFit="false"/>
      <protection locked="true" hidden="false"/>
    </xf>
    <xf numFmtId="164" fontId="10" fillId="0" borderId="10" xfId="0" applyFont="true" applyBorder="true" applyAlignment="true" applyProtection="false">
      <alignment horizontal="center" vertical="center" textRotation="0" wrapText="true" indent="0" shrinkToFit="false"/>
      <protection locked="true" hidden="false"/>
    </xf>
    <xf numFmtId="168" fontId="10" fillId="0" borderId="5" xfId="0" applyFont="true" applyBorder="true" applyAlignment="true" applyProtection="false">
      <alignment horizontal="center" vertical="center" textRotation="0" wrapText="true" indent="0" shrinkToFit="false"/>
      <protection locked="true" hidden="false"/>
    </xf>
    <xf numFmtId="168" fontId="10" fillId="0" borderId="6" xfId="0" applyFont="true" applyBorder="true" applyAlignment="true" applyProtection="false">
      <alignment horizontal="center" vertical="center" textRotation="0" wrapText="true" indent="0" shrinkToFit="false"/>
      <protection locked="true" hidden="false"/>
    </xf>
    <xf numFmtId="168" fontId="10" fillId="0" borderId="9" xfId="0" applyFont="true" applyBorder="true" applyAlignment="true" applyProtection="false">
      <alignment horizontal="center" vertical="center" textRotation="0" wrapText="true" indent="0" shrinkToFit="false"/>
      <protection locked="true" hidden="false"/>
    </xf>
    <xf numFmtId="169" fontId="10" fillId="0" borderId="11" xfId="0" applyFont="true" applyBorder="true" applyAlignment="true" applyProtection="false">
      <alignment horizontal="center" vertical="center" textRotation="0" wrapText="true" indent="0" shrinkToFit="false"/>
      <protection locked="true" hidden="false"/>
    </xf>
    <xf numFmtId="164" fontId="10" fillId="0" borderId="5" xfId="0" applyFont="true" applyBorder="true" applyAlignment="true" applyProtection="false">
      <alignment horizontal="center" vertical="center" textRotation="0" wrapText="true" indent="0" shrinkToFit="false"/>
      <protection locked="true" hidden="false"/>
    </xf>
    <xf numFmtId="169" fontId="10" fillId="0" borderId="6" xfId="0" applyFont="true" applyBorder="true" applyAlignment="true" applyProtection="false">
      <alignment horizontal="center" vertical="center" textRotation="0" wrapText="true" indent="0" shrinkToFit="false"/>
      <protection locked="true" hidden="false"/>
    </xf>
    <xf numFmtId="164" fontId="10" fillId="2" borderId="0" xfId="0" applyFont="true" applyBorder="false" applyAlignment="true" applyProtection="false">
      <alignment horizontal="general" vertical="bottom" textRotation="0" wrapText="false" indent="0" shrinkToFit="false"/>
      <protection locked="true" hidden="false"/>
    </xf>
    <xf numFmtId="165" fontId="11" fillId="0" borderId="5" xfId="0" applyFont="true" applyBorder="true" applyAlignment="true" applyProtection="false">
      <alignment horizontal="center" vertical="center" textRotation="0" wrapText="true" indent="0" shrinkToFit="false"/>
      <protection locked="true" hidden="false"/>
    </xf>
    <xf numFmtId="164" fontId="11" fillId="0" borderId="6" xfId="0" applyFont="true" applyBorder="true" applyAlignment="true" applyProtection="false">
      <alignment horizontal="center" vertical="center" textRotation="0" wrapText="true" indent="0" shrinkToFit="false"/>
      <protection locked="true" hidden="false"/>
    </xf>
    <xf numFmtId="166" fontId="11" fillId="0" borderId="6" xfId="0" applyFont="true" applyBorder="true" applyAlignment="true" applyProtection="false">
      <alignment horizontal="center" vertical="center" textRotation="0" wrapText="true" indent="0" shrinkToFit="false"/>
      <protection locked="true" hidden="false"/>
    </xf>
    <xf numFmtId="164" fontId="11" fillId="0" borderId="7" xfId="0" applyFont="true" applyBorder="true" applyAlignment="true" applyProtection="false">
      <alignment horizontal="center" vertical="center" textRotation="0" wrapText="true" indent="0" shrinkToFit="false"/>
      <protection locked="true" hidden="false"/>
    </xf>
    <xf numFmtId="164" fontId="11" fillId="0" borderId="13" xfId="0" applyFont="true" applyBorder="true" applyAlignment="true" applyProtection="false">
      <alignment horizontal="center" vertical="center" textRotation="0" wrapText="true" indent="0" shrinkToFit="false"/>
      <protection locked="true" hidden="false"/>
    </xf>
    <xf numFmtId="170" fontId="11" fillId="0" borderId="9" xfId="0" applyFont="true" applyBorder="true" applyAlignment="true" applyProtection="false">
      <alignment horizontal="center" vertical="center" textRotation="0" wrapText="true" indent="0" shrinkToFit="false"/>
      <protection locked="true" hidden="false"/>
    </xf>
    <xf numFmtId="169" fontId="11" fillId="0" borderId="9" xfId="0" applyFont="true" applyBorder="true" applyAlignment="true" applyProtection="false">
      <alignment horizontal="center" vertical="center" textRotation="0" wrapText="true" indent="0" shrinkToFit="false"/>
      <protection locked="true" hidden="false"/>
    </xf>
    <xf numFmtId="164" fontId="11" fillId="0" borderId="9" xfId="0" applyFont="true" applyBorder="true" applyAlignment="true" applyProtection="false">
      <alignment horizontal="center" vertical="center" textRotation="0" wrapText="true" indent="0" shrinkToFit="false"/>
      <protection locked="true" hidden="false"/>
    </xf>
    <xf numFmtId="167" fontId="11" fillId="5" borderId="11" xfId="0" applyFont="true" applyBorder="true" applyAlignment="true" applyProtection="false">
      <alignment horizontal="center" vertical="center" textRotation="0" wrapText="true" indent="0" shrinkToFit="false"/>
      <protection locked="true" hidden="false"/>
    </xf>
    <xf numFmtId="167" fontId="11" fillId="0" borderId="11" xfId="0" applyFont="true" applyBorder="true" applyAlignment="true" applyProtection="false">
      <alignment horizontal="center" vertical="center" textRotation="0" wrapText="true" indent="0" shrinkToFit="false"/>
      <protection locked="true" hidden="false"/>
    </xf>
    <xf numFmtId="169" fontId="11" fillId="0" borderId="10" xfId="0" applyFont="true" applyBorder="true" applyAlignment="true" applyProtection="false">
      <alignment horizontal="center" vertical="center" textRotation="0" wrapText="true" indent="0" shrinkToFit="false"/>
      <protection locked="true" hidden="false"/>
    </xf>
    <xf numFmtId="164" fontId="11" fillId="0" borderId="8" xfId="0" applyFont="true" applyBorder="true" applyAlignment="true" applyProtection="false">
      <alignment horizontal="center" vertical="center" textRotation="0" wrapText="true" indent="0" shrinkToFit="false"/>
      <protection locked="true" hidden="false"/>
    </xf>
    <xf numFmtId="164" fontId="11" fillId="0" borderId="12" xfId="0" applyFont="true" applyBorder="true" applyAlignment="true" applyProtection="false">
      <alignment horizontal="center" vertical="center" textRotation="0" wrapText="true" indent="0" shrinkToFit="false"/>
      <protection locked="true" hidden="false"/>
    </xf>
    <xf numFmtId="171" fontId="11" fillId="0" borderId="9" xfId="0" applyFont="true" applyBorder="true" applyAlignment="true" applyProtection="false">
      <alignment horizontal="center" vertical="center" textRotation="0" wrapText="true" indent="0" shrinkToFit="false"/>
      <protection locked="true" hidden="false"/>
    </xf>
    <xf numFmtId="167" fontId="11" fillId="0" borderId="9" xfId="0" applyFont="true" applyBorder="true" applyAlignment="true" applyProtection="false">
      <alignment horizontal="center" vertical="center" textRotation="0" wrapText="true" indent="0" shrinkToFit="false"/>
      <protection locked="true" hidden="false"/>
    </xf>
    <xf numFmtId="164" fontId="11" fillId="0" borderId="10" xfId="0" applyFont="true" applyBorder="true" applyAlignment="true" applyProtection="false">
      <alignment horizontal="center" vertical="center" textRotation="0" wrapText="true" indent="0" shrinkToFit="false"/>
      <protection locked="true" hidden="false"/>
    </xf>
    <xf numFmtId="168" fontId="11" fillId="0" borderId="5" xfId="0" applyFont="true" applyBorder="true" applyAlignment="true" applyProtection="false">
      <alignment horizontal="center" vertical="center" textRotation="0" wrapText="true" indent="0" shrinkToFit="false"/>
      <protection locked="true" hidden="false"/>
    </xf>
    <xf numFmtId="168" fontId="11" fillId="0" borderId="6" xfId="0" applyFont="true" applyBorder="true" applyAlignment="true" applyProtection="false">
      <alignment horizontal="center" vertical="center" textRotation="0" wrapText="true" indent="0" shrinkToFit="false"/>
      <protection locked="true" hidden="false"/>
    </xf>
    <xf numFmtId="168" fontId="11" fillId="0" borderId="9" xfId="0" applyFont="true" applyBorder="true" applyAlignment="true" applyProtection="false">
      <alignment horizontal="center" vertical="center" textRotation="0" wrapText="true" indent="0" shrinkToFit="false"/>
      <protection locked="true" hidden="false"/>
    </xf>
    <xf numFmtId="169" fontId="11" fillId="0" borderId="11" xfId="0" applyFont="true" applyBorder="true" applyAlignment="true" applyProtection="false">
      <alignment horizontal="center" vertical="center" textRotation="0" wrapText="true" indent="0" shrinkToFit="false"/>
      <protection locked="true" hidden="false"/>
    </xf>
    <xf numFmtId="169" fontId="11" fillId="0" borderId="6" xfId="0" applyFont="true" applyBorder="true" applyAlignment="true" applyProtection="false">
      <alignment horizontal="center" vertical="center" textRotation="0" wrapText="true" indent="0" shrinkToFit="false"/>
      <protection locked="true" hidden="false"/>
    </xf>
    <xf numFmtId="164" fontId="11" fillId="2" borderId="0" xfId="0" applyFont="true" applyBorder="false" applyAlignment="true" applyProtection="false">
      <alignment horizontal="general" vertical="bottom" textRotation="0" wrapText="false" indent="0" shrinkToFit="false"/>
      <protection locked="true" hidden="false"/>
    </xf>
    <xf numFmtId="164" fontId="9" fillId="0" borderId="7" xfId="0" applyFont="true" applyBorder="true" applyAlignment="true" applyProtection="false">
      <alignment horizontal="center" vertical="center" textRotation="0" wrapText="true" indent="0" shrinkToFit="false"/>
      <protection locked="true" hidden="false"/>
    </xf>
    <xf numFmtId="164" fontId="9" fillId="0" borderId="13" xfId="0" applyFont="true" applyBorder="true" applyAlignment="true" applyProtection="false">
      <alignment horizontal="center" vertical="center" textRotation="0" wrapText="true" indent="0" shrinkToFit="false"/>
      <protection locked="true" hidden="false"/>
    </xf>
    <xf numFmtId="168" fontId="9" fillId="0" borderId="5" xfId="0" applyFont="true" applyBorder="true" applyAlignment="true" applyProtection="false">
      <alignment horizontal="center" vertical="center" textRotation="0" wrapText="true" indent="0" shrinkToFit="false"/>
      <protection locked="true" hidden="false"/>
    </xf>
    <xf numFmtId="168" fontId="9" fillId="0" borderId="6" xfId="0" applyFont="true" applyBorder="true" applyAlignment="true" applyProtection="false">
      <alignment horizontal="center" vertical="center" textRotation="0" wrapText="true" indent="0" shrinkToFit="false"/>
      <protection locked="true" hidden="false"/>
    </xf>
    <xf numFmtId="169" fontId="9" fillId="0" borderId="14" xfId="0" applyFont="true" applyBorder="true" applyAlignment="true" applyProtection="false">
      <alignment horizontal="center" vertical="center" textRotation="0" wrapText="true" indent="0" shrinkToFit="false"/>
      <protection locked="true" hidden="false"/>
    </xf>
    <xf numFmtId="172" fontId="9" fillId="0" borderId="6" xfId="0" applyFont="true" applyBorder="true" applyAlignment="true" applyProtection="false">
      <alignment horizontal="center" vertical="center" textRotation="0" wrapText="true" indent="0" shrinkToFit="false"/>
      <protection locked="true" hidden="false"/>
    </xf>
    <xf numFmtId="167" fontId="9" fillId="0" borderId="14" xfId="0" applyFont="true" applyBorder="true" applyAlignment="true" applyProtection="false">
      <alignment horizontal="center" vertical="center" textRotation="0" wrapText="true" indent="0" shrinkToFit="false"/>
      <protection locked="true" hidden="false"/>
    </xf>
    <xf numFmtId="170" fontId="9" fillId="0" borderId="5" xfId="0" applyFont="true" applyBorder="true" applyAlignment="true" applyProtection="false">
      <alignment horizontal="center" vertical="center" textRotation="0" wrapText="true" indent="0" shrinkToFit="false"/>
      <protection locked="true" hidden="false"/>
    </xf>
    <xf numFmtId="169" fontId="9" fillId="0" borderId="15" xfId="0" applyFont="true" applyBorder="true" applyAlignment="true" applyProtection="false">
      <alignment horizontal="center" vertical="center" textRotation="0" wrapText="true" indent="0" shrinkToFit="false"/>
      <protection locked="true" hidden="false"/>
    </xf>
    <xf numFmtId="167" fontId="9" fillId="0" borderId="6" xfId="0" applyFont="true" applyBorder="true" applyAlignment="true" applyProtection="false">
      <alignment horizontal="center" vertical="center" textRotation="0" wrapText="true" indent="0" shrinkToFit="false"/>
      <protection locked="true" hidden="false"/>
    </xf>
    <xf numFmtId="168" fontId="12" fillId="0" borderId="6" xfId="0" applyFont="true" applyBorder="true" applyAlignment="true" applyProtection="false">
      <alignment horizontal="center" vertical="center" textRotation="0" wrapText="true" indent="0" shrinkToFit="false"/>
      <protection locked="true" hidden="false"/>
    </xf>
    <xf numFmtId="169" fontId="12" fillId="0" borderId="7" xfId="0" applyFont="true" applyBorder="true" applyAlignment="true" applyProtection="false">
      <alignment horizontal="center" vertical="center" textRotation="0" wrapText="true" indent="0" shrinkToFit="false"/>
      <protection locked="true" hidden="false"/>
    </xf>
    <xf numFmtId="164" fontId="9" fillId="0" borderId="5" xfId="0" applyFont="true" applyBorder="true" applyAlignment="true" applyProtection="false">
      <alignment horizontal="center" vertical="center" textRotation="0" wrapText="true" indent="0" shrinkToFit="false"/>
      <protection locked="true" hidden="false"/>
    </xf>
    <xf numFmtId="165" fontId="9" fillId="0" borderId="16" xfId="0" applyFont="true" applyBorder="true" applyAlignment="true" applyProtection="false">
      <alignment horizontal="center" vertical="center" textRotation="0" wrapText="true" indent="0" shrinkToFit="false"/>
      <protection locked="true" hidden="false"/>
    </xf>
    <xf numFmtId="164" fontId="9" fillId="0" borderId="17" xfId="0" applyFont="true" applyBorder="true" applyAlignment="true" applyProtection="false">
      <alignment horizontal="center" vertical="center" textRotation="0" wrapText="true" indent="0" shrinkToFit="false"/>
      <protection locked="true" hidden="false"/>
    </xf>
    <xf numFmtId="166" fontId="9" fillId="0" borderId="17" xfId="0" applyFont="true" applyBorder="true" applyAlignment="true" applyProtection="false">
      <alignment horizontal="center" vertical="center" textRotation="0" wrapText="true" indent="0" shrinkToFit="false"/>
      <protection locked="true" hidden="false"/>
    </xf>
    <xf numFmtId="164" fontId="9" fillId="0" borderId="18" xfId="0" applyFont="true" applyBorder="true" applyAlignment="true" applyProtection="false">
      <alignment horizontal="center" vertical="center" textRotation="0" wrapText="true" indent="0" shrinkToFit="false"/>
      <protection locked="true" hidden="false"/>
    </xf>
    <xf numFmtId="164" fontId="9" fillId="0" borderId="19" xfId="0" applyFont="true" applyBorder="true" applyAlignment="true" applyProtection="false">
      <alignment horizontal="center" vertical="center" textRotation="0" wrapText="true" indent="0" shrinkToFit="false"/>
      <protection locked="true" hidden="false"/>
    </xf>
    <xf numFmtId="172" fontId="9" fillId="0" borderId="17" xfId="0" applyFont="true" applyBorder="true" applyAlignment="true" applyProtection="false">
      <alignment horizontal="center" vertical="center" textRotation="0" wrapText="true" indent="0" shrinkToFit="false"/>
      <protection locked="true" hidden="false"/>
    </xf>
    <xf numFmtId="169" fontId="9" fillId="0" borderId="17" xfId="0" applyFont="true" applyBorder="true" applyAlignment="true" applyProtection="false">
      <alignment horizontal="center" vertical="center" textRotation="0" wrapText="true" indent="0" shrinkToFit="false"/>
      <protection locked="true" hidden="false"/>
    </xf>
    <xf numFmtId="167" fontId="9" fillId="5" borderId="20" xfId="0" applyFont="true" applyBorder="true" applyAlignment="true" applyProtection="false">
      <alignment horizontal="center" vertical="center" textRotation="0" wrapText="true" indent="0" shrinkToFit="false"/>
      <protection locked="true" hidden="false"/>
    </xf>
    <xf numFmtId="167" fontId="9" fillId="0" borderId="20" xfId="0" applyFont="true" applyBorder="true" applyAlignment="true" applyProtection="false">
      <alignment horizontal="center" vertical="center" textRotation="0" wrapText="true" indent="0" shrinkToFit="false"/>
      <protection locked="true" hidden="false"/>
    </xf>
    <xf numFmtId="170" fontId="9" fillId="0" borderId="16" xfId="0" applyFont="true" applyBorder="true" applyAlignment="true" applyProtection="false">
      <alignment horizontal="center" vertical="center" textRotation="0" wrapText="true" indent="0" shrinkToFit="false"/>
      <protection locked="true" hidden="false"/>
    </xf>
    <xf numFmtId="169" fontId="9" fillId="0" borderId="21" xfId="0" applyFont="true" applyBorder="true" applyAlignment="true" applyProtection="false">
      <alignment horizontal="center" vertical="center" textRotation="0" wrapText="true" indent="0" shrinkToFit="false"/>
      <protection locked="true" hidden="false"/>
    </xf>
    <xf numFmtId="168" fontId="9" fillId="0" borderId="17" xfId="0" applyFont="true" applyBorder="true" applyAlignment="true" applyProtection="false">
      <alignment horizontal="center" vertical="center" textRotation="0" wrapText="true" indent="0" shrinkToFit="false"/>
      <protection locked="true" hidden="false"/>
    </xf>
    <xf numFmtId="167" fontId="9" fillId="0" borderId="17" xfId="0" applyFont="true" applyBorder="true" applyAlignment="true" applyProtection="false">
      <alignment horizontal="center" vertical="center" textRotation="0" wrapText="true" indent="0" shrinkToFit="false"/>
      <protection locked="true" hidden="false"/>
    </xf>
    <xf numFmtId="168" fontId="12" fillId="0" borderId="17" xfId="0" applyFont="true" applyBorder="true" applyAlignment="true" applyProtection="false">
      <alignment horizontal="center" vertical="center" textRotation="0" wrapText="true" indent="0" shrinkToFit="false"/>
      <protection locked="true" hidden="false"/>
    </xf>
    <xf numFmtId="169" fontId="12" fillId="0" borderId="18" xfId="0" applyFont="true" applyBorder="true" applyAlignment="true" applyProtection="false">
      <alignment horizontal="center" vertical="center" textRotation="0" wrapText="true" indent="0" shrinkToFit="false"/>
      <protection locked="true" hidden="false"/>
    </xf>
    <xf numFmtId="168" fontId="9" fillId="0" borderId="16" xfId="0" applyFont="true" applyBorder="true" applyAlignment="true" applyProtection="false">
      <alignment horizontal="center" vertical="center" textRotation="0" wrapText="true" indent="0" shrinkToFit="false"/>
      <protection locked="true" hidden="false"/>
    </xf>
    <xf numFmtId="169" fontId="9" fillId="0" borderId="20" xfId="0" applyFont="true" applyBorder="true" applyAlignment="true" applyProtection="false">
      <alignment horizontal="center" vertical="center" textRotation="0" wrapText="true" indent="0" shrinkToFit="false"/>
      <protection locked="true" hidden="false"/>
    </xf>
    <xf numFmtId="164" fontId="9" fillId="0" borderId="16" xfId="0" applyFont="true" applyBorder="true" applyAlignment="true" applyProtection="false">
      <alignment horizontal="center" vertical="center" textRotation="0" wrapText="true" indent="0" shrinkToFit="false"/>
      <protection locked="true" hidden="false"/>
    </xf>
    <xf numFmtId="164" fontId="9" fillId="0" borderId="21" xfId="0" applyFont="true" applyBorder="true" applyAlignment="true" applyProtection="false">
      <alignment horizontal="left" vertical="center" textRotation="0" wrapText="tru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13" fillId="3" borderId="22" xfId="0" applyFont="true" applyBorder="true" applyAlignment="true" applyProtection="false">
      <alignment horizontal="center" vertical="center" textRotation="0" wrapText="true" indent="0" shrinkToFit="false"/>
      <protection locked="true" hidden="false"/>
    </xf>
    <xf numFmtId="164" fontId="14" fillId="4" borderId="22" xfId="0" applyFont="true" applyBorder="true" applyAlignment="true" applyProtection="false">
      <alignment horizontal="center" vertical="center" textRotation="0" wrapText="true" indent="0" shrinkToFit="false"/>
      <protection locked="true" hidden="false"/>
    </xf>
    <xf numFmtId="164" fontId="0" fillId="0" borderId="22" xfId="0" applyFont="true" applyBorder="true" applyAlignment="true" applyProtection="false">
      <alignment horizontal="left" vertical="center" textRotation="0" wrapText="true" indent="0" shrinkToFit="false"/>
      <protection locked="true" hidden="false"/>
    </xf>
    <xf numFmtId="164" fontId="13" fillId="3" borderId="22" xfId="0" applyFont="true" applyBorder="true" applyAlignment="true" applyProtection="false">
      <alignment horizontal="center" vertical="bottom" textRotation="0" wrapText="tru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15" fillId="0" borderId="0" xfId="0" applyFont="true" applyBorder="false" applyAlignment="true" applyProtection="false">
      <alignment horizontal="left"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left" vertical="center" textRotation="0" wrapText="false" indent="0" shrinkToFit="false"/>
      <protection locked="true" hidden="false"/>
    </xf>
    <xf numFmtId="164" fontId="0" fillId="2" borderId="0" xfId="0" applyFont="false" applyBorder="false" applyAlignment="true" applyProtection="false">
      <alignment horizontal="left" vertical="center" textRotation="0" wrapText="true" indent="0" shrinkToFit="false"/>
      <protection locked="true" hidden="false"/>
    </xf>
    <xf numFmtId="164" fontId="0" fillId="2" borderId="0" xfId="0" applyFont="false" applyBorder="false" applyAlignment="true" applyProtection="false">
      <alignment horizontal="center" vertical="center" textRotation="0" wrapText="true" indent="0" shrinkToFit="false"/>
      <protection locked="true" hidden="false"/>
    </xf>
    <xf numFmtId="164" fontId="0" fillId="2" borderId="0" xfId="0" applyFont="false" applyBorder="false" applyAlignment="true" applyProtection="false">
      <alignment horizontal="center" vertical="center" textRotation="0" wrapText="false" indent="0" shrinkToFit="false"/>
      <protection locked="true" hidden="false"/>
    </xf>
    <xf numFmtId="164" fontId="14" fillId="2" borderId="0" xfId="0" applyFont="true" applyBorder="false" applyAlignment="true" applyProtection="false">
      <alignment horizontal="left" vertical="center" textRotation="0" wrapText="false" indent="0" shrinkToFit="false"/>
      <protection locked="true" hidden="false"/>
    </xf>
    <xf numFmtId="164" fontId="5" fillId="4" borderId="15" xfId="0" applyFont="true" applyBorder="true" applyAlignment="true" applyProtection="false">
      <alignment horizontal="center" vertical="center" textRotation="0" wrapText="true" indent="0" shrinkToFit="false"/>
      <protection locked="true" hidden="false"/>
    </xf>
    <xf numFmtId="164" fontId="12" fillId="2" borderId="6" xfId="0" applyFont="true" applyBorder="true" applyAlignment="true" applyProtection="false">
      <alignment horizontal="left" vertical="center" textRotation="0" wrapText="true" indent="0" shrinkToFit="false"/>
      <protection locked="true" hidden="false"/>
    </xf>
    <xf numFmtId="164" fontId="12" fillId="2" borderId="6" xfId="0" applyFont="true" applyBorder="true" applyAlignment="true" applyProtection="false">
      <alignment horizontal="center" vertical="center" textRotation="0" wrapText="true" indent="0" shrinkToFit="false"/>
      <protection locked="true" hidden="false"/>
    </xf>
    <xf numFmtId="164" fontId="12" fillId="2" borderId="6" xfId="0" applyFont="true" applyBorder="true" applyAlignment="true" applyProtection="false">
      <alignment horizontal="center" vertical="center" textRotation="0" wrapText="false" indent="0" shrinkToFit="false"/>
      <protection locked="true" hidden="false"/>
    </xf>
    <xf numFmtId="164" fontId="16" fillId="4" borderId="23" xfId="0" applyFont="true" applyBorder="true" applyAlignment="true" applyProtection="false">
      <alignment horizontal="center" vertical="center" textRotation="0" wrapText="true" indent="0" shrinkToFit="false"/>
      <protection locked="true" hidden="false"/>
    </xf>
    <xf numFmtId="164" fontId="17" fillId="0" borderId="23" xfId="0" applyFont="true" applyBorder="true" applyAlignment="true" applyProtection="false">
      <alignment horizontal="general" vertical="top" textRotation="0" wrapText="true" indent="0" shrinkToFit="false"/>
      <protection locked="true" hidden="false"/>
    </xf>
    <xf numFmtId="164" fontId="17" fillId="0" borderId="23" xfId="0" applyFont="true" applyBorder="true" applyAlignment="true" applyProtection="false">
      <alignment horizontal="center" vertical="center" textRotation="0" wrapText="true" indent="0" shrinkToFit="false"/>
      <protection locked="true" hidden="false"/>
    </xf>
    <xf numFmtId="164" fontId="18" fillId="6" borderId="23" xfId="0" applyFont="true" applyBorder="true" applyAlignment="true" applyProtection="false">
      <alignment horizontal="center" vertical="center" textRotation="0" wrapText="true" indent="0" shrinkToFit="false"/>
      <protection locked="true" hidden="false"/>
    </xf>
    <xf numFmtId="164" fontId="19" fillId="7" borderId="23" xfId="0" applyFont="true" applyBorder="true" applyAlignment="true" applyProtection="false">
      <alignment horizontal="center" vertical="center" textRotation="0" wrapText="true" indent="0" shrinkToFit="false"/>
      <protection locked="true" hidden="false"/>
    </xf>
    <xf numFmtId="164" fontId="20" fillId="8" borderId="23" xfId="0" applyFont="true" applyBorder="true" applyAlignment="true" applyProtection="false">
      <alignment horizontal="center" vertical="center" textRotation="0" wrapText="true" indent="0" shrinkToFit="false"/>
      <protection locked="true" hidden="false"/>
    </xf>
    <xf numFmtId="164" fontId="21" fillId="0" borderId="0" xfId="0" applyFont="true" applyBorder="false" applyAlignment="true" applyProtection="false">
      <alignment horizontal="general" vertical="top" textRotation="0" wrapText="true" indent="0" shrinkToFit="false"/>
      <protection locked="true" hidden="false"/>
    </xf>
    <xf numFmtId="164" fontId="22" fillId="0" borderId="0" xfId="0" applyFont="true" applyBorder="false" applyAlignment="true" applyProtection="false">
      <alignment horizontal="general" vertical="top" textRotation="0" wrapText="true" indent="0" shrinkToFit="false"/>
      <protection locked="true" hidden="false"/>
    </xf>
    <xf numFmtId="164" fontId="23"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BFBFBF"/>
      <rgbColor rgb="FF808080"/>
      <rgbColor rgb="FF9999FF"/>
      <rgbColor rgb="FF993366"/>
      <rgbColor rgb="FFFBE3D6"/>
      <rgbColor rgb="FFDDEBF7"/>
      <rgbColor rgb="FF660066"/>
      <rgbColor rgb="FFFF8080"/>
      <rgbColor rgb="FF0066CC"/>
      <rgbColor rgb="FFB7C4D6"/>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O11"/>
  <sheetViews>
    <sheetView showFormulas="false" showGridLines="true" showRowColHeaders="true" showZeros="true" rightToLeft="false" tabSelected="false" showOutlineSymbols="true" defaultGridColor="true" view="normal" topLeftCell="L1" colorId="64" zoomScale="140" zoomScaleNormal="140" zoomScalePageLayoutView="100" workbookViewId="0">
      <selection pane="topLeft" activeCell="L5" activeCellId="1" sqref="B31:B66 L5"/>
    </sheetView>
  </sheetViews>
  <sheetFormatPr defaultColWidth="8.859375" defaultRowHeight="15" zeroHeight="false" outlineLevelRow="0" outlineLevelCol="0"/>
  <cols>
    <col collapsed="false" customWidth="true" hidden="false" outlineLevel="0" max="1" min="1" style="1" width="11.57"/>
    <col collapsed="false" customWidth="true" hidden="false" outlineLevel="0" max="2" min="2" style="2" width="13.3"/>
    <col collapsed="false" customWidth="true" hidden="false" outlineLevel="0" max="3" min="3" style="2" width="10"/>
    <col collapsed="false" customWidth="true" hidden="false" outlineLevel="0" max="5" min="4" style="2" width="7.72"/>
    <col collapsed="false" customWidth="false" hidden="false" outlineLevel="0" max="6" min="6" style="2" width="8.86"/>
    <col collapsed="false" customWidth="true" hidden="false" outlineLevel="0" max="7" min="7" style="2" width="22.86"/>
    <col collapsed="false" customWidth="true" hidden="false" outlineLevel="0" max="8" min="8" style="3" width="15.28"/>
    <col collapsed="false" customWidth="true" hidden="false" outlineLevel="0" max="9" min="9" style="2" width="22.14"/>
    <col collapsed="false" customWidth="true" hidden="false" outlineLevel="0" max="10" min="10" style="2" width="24.43"/>
    <col collapsed="false" customWidth="true" hidden="false" outlineLevel="0" max="11" min="11" style="2" width="11.72"/>
    <col collapsed="false" customWidth="false" hidden="false" outlineLevel="0" max="13" min="12" style="2" width="8.86"/>
    <col collapsed="false" customWidth="true" hidden="false" outlineLevel="0" max="14" min="14" style="2" width="16"/>
    <col collapsed="false" customWidth="true" hidden="false" outlineLevel="0" max="15" min="15" style="2" width="12"/>
    <col collapsed="false" customWidth="false" hidden="false" outlineLevel="0" max="16" min="16" style="2" width="8.86"/>
    <col collapsed="false" customWidth="true" hidden="false" outlineLevel="0" max="17" min="17" style="2" width="11.28"/>
    <col collapsed="false" customWidth="true" hidden="false" outlineLevel="0" max="18" min="18" style="4" width="19"/>
    <col collapsed="false" customWidth="true" hidden="false" outlineLevel="0" max="19" min="19" style="4" width="13.3"/>
    <col collapsed="false" customWidth="true" hidden="false" outlineLevel="0" max="20" min="20" style="4" width="14.29"/>
    <col collapsed="false" customWidth="true" hidden="false" outlineLevel="0" max="21" min="21" style="2" width="9.57"/>
    <col collapsed="false" customWidth="true" hidden="false" outlineLevel="0" max="22" min="22" style="2" width="9.3"/>
    <col collapsed="false" customWidth="true" hidden="false" outlineLevel="0" max="23" min="23" style="2" width="11.28"/>
    <col collapsed="false" customWidth="true" hidden="false" outlineLevel="0" max="24" min="24" style="2" width="11"/>
    <col collapsed="false" customWidth="true" hidden="false" outlineLevel="0" max="25" min="25" style="2" width="14.14"/>
    <col collapsed="false" customWidth="true" hidden="false" outlineLevel="0" max="26" min="26" style="2" width="10.7"/>
    <col collapsed="false" customWidth="true" hidden="false" outlineLevel="0" max="27" min="27" style="2" width="11.28"/>
    <col collapsed="false" customWidth="true" hidden="false" outlineLevel="0" max="28" min="28" style="2" width="12.43"/>
    <col collapsed="false" customWidth="true" hidden="false" outlineLevel="0" max="29" min="29" style="4" width="10.43"/>
    <col collapsed="false" customWidth="true" hidden="false" outlineLevel="0" max="30" min="30" style="4" width="15.57"/>
    <col collapsed="false" customWidth="true" hidden="false" outlineLevel="0" max="31" min="31" style="2" width="24.86"/>
    <col collapsed="false" customWidth="true" hidden="false" outlineLevel="0" max="32" min="32" style="2" width="23.57"/>
    <col collapsed="false" customWidth="true" hidden="false" outlineLevel="0" max="33" min="33" style="5" width="13.71"/>
    <col collapsed="false" customWidth="true" hidden="false" outlineLevel="0" max="34" min="34" style="5" width="15"/>
    <col collapsed="false" customWidth="true" hidden="false" outlineLevel="0" max="35" min="35" style="5" width="15.57"/>
    <col collapsed="false" customWidth="true" hidden="false" outlineLevel="0" max="36" min="36" style="2" width="14"/>
    <col collapsed="false" customWidth="true" hidden="false" outlineLevel="0" max="37" min="37" style="6" width="11.86"/>
    <col collapsed="false" customWidth="true" hidden="false" outlineLevel="0" max="38" min="38" style="2" width="12.57"/>
    <col collapsed="false" customWidth="true" hidden="false" outlineLevel="0" max="39" min="39" style="2" width="41.14"/>
    <col collapsed="false" customWidth="true" hidden="false" outlineLevel="0" max="40" min="40" style="2" width="19"/>
    <col collapsed="false" customWidth="true" hidden="false" outlineLevel="0" max="41" min="41" style="2" width="31.28"/>
    <col collapsed="false" customWidth="false" hidden="false" outlineLevel="0" max="16384" min="42" style="2" width="8.86"/>
  </cols>
  <sheetData>
    <row r="1" customFormat="false" ht="15.75" hidden="false" customHeight="true" outlineLevel="0" collapsed="false">
      <c r="A1" s="7" t="s">
        <v>0</v>
      </c>
      <c r="B1" s="7"/>
      <c r="C1" s="7"/>
      <c r="D1" s="7"/>
      <c r="E1" s="7"/>
      <c r="F1" s="7"/>
      <c r="G1" s="7"/>
      <c r="H1" s="7"/>
      <c r="I1" s="7"/>
      <c r="J1" s="8" t="s">
        <v>1</v>
      </c>
      <c r="K1" s="8"/>
      <c r="L1" s="8"/>
      <c r="M1" s="8"/>
      <c r="N1" s="8"/>
      <c r="O1" s="8"/>
      <c r="P1" s="8"/>
      <c r="Q1" s="8"/>
      <c r="R1" s="8"/>
      <c r="S1" s="8"/>
      <c r="T1" s="8"/>
      <c r="U1" s="8"/>
      <c r="V1" s="9" t="s">
        <v>2</v>
      </c>
      <c r="W1" s="9"/>
      <c r="X1" s="9"/>
      <c r="Y1" s="9"/>
      <c r="Z1" s="9"/>
      <c r="AA1" s="9"/>
      <c r="AB1" s="9"/>
      <c r="AC1" s="9"/>
      <c r="AD1" s="9"/>
      <c r="AE1" s="9"/>
      <c r="AF1" s="9"/>
      <c r="AG1" s="10" t="s">
        <v>3</v>
      </c>
      <c r="AH1" s="10"/>
      <c r="AI1" s="10"/>
      <c r="AJ1" s="10"/>
      <c r="AK1" s="10"/>
      <c r="AL1" s="10" t="s">
        <v>4</v>
      </c>
      <c r="AM1" s="10"/>
      <c r="AN1" s="10"/>
      <c r="AO1" s="10"/>
    </row>
    <row r="2" s="27" customFormat="true" ht="53.25" hidden="false" customHeight="true" outlineLevel="0" collapsed="false">
      <c r="A2" s="11" t="s">
        <v>5</v>
      </c>
      <c r="B2" s="12" t="s">
        <v>6</v>
      </c>
      <c r="C2" s="12" t="s">
        <v>7</v>
      </c>
      <c r="D2" s="12" t="s">
        <v>8</v>
      </c>
      <c r="E2" s="12" t="s">
        <v>9</v>
      </c>
      <c r="F2" s="12" t="s">
        <v>10</v>
      </c>
      <c r="G2" s="12" t="s">
        <v>11</v>
      </c>
      <c r="H2" s="13" t="s">
        <v>12</v>
      </c>
      <c r="I2" s="14" t="s">
        <v>13</v>
      </c>
      <c r="J2" s="15" t="s">
        <v>14</v>
      </c>
      <c r="K2" s="16" t="s">
        <v>15</v>
      </c>
      <c r="L2" s="16" t="s">
        <v>16</v>
      </c>
      <c r="M2" s="16" t="s">
        <v>17</v>
      </c>
      <c r="N2" s="16" t="s">
        <v>18</v>
      </c>
      <c r="O2" s="16" t="s">
        <v>19</v>
      </c>
      <c r="P2" s="16" t="s">
        <v>20</v>
      </c>
      <c r="Q2" s="16" t="s">
        <v>21</v>
      </c>
      <c r="R2" s="17" t="s">
        <v>22</v>
      </c>
      <c r="S2" s="18" t="s">
        <v>23</v>
      </c>
      <c r="T2" s="18" t="s">
        <v>24</v>
      </c>
      <c r="U2" s="19" t="s">
        <v>25</v>
      </c>
      <c r="V2" s="20" t="s">
        <v>26</v>
      </c>
      <c r="W2" s="12" t="s">
        <v>27</v>
      </c>
      <c r="X2" s="12" t="s">
        <v>28</v>
      </c>
      <c r="Y2" s="12" t="s">
        <v>29</v>
      </c>
      <c r="Z2" s="12" t="s">
        <v>30</v>
      </c>
      <c r="AA2" s="12" t="s">
        <v>31</v>
      </c>
      <c r="AB2" s="12" t="s">
        <v>32</v>
      </c>
      <c r="AC2" s="21" t="s">
        <v>33</v>
      </c>
      <c r="AD2" s="22" t="s">
        <v>34</v>
      </c>
      <c r="AE2" s="12" t="s">
        <v>35</v>
      </c>
      <c r="AF2" s="23" t="s">
        <v>36</v>
      </c>
      <c r="AG2" s="24" t="s">
        <v>37</v>
      </c>
      <c r="AH2" s="25" t="s">
        <v>38</v>
      </c>
      <c r="AI2" s="25" t="s">
        <v>39</v>
      </c>
      <c r="AJ2" s="12" t="s">
        <v>40</v>
      </c>
      <c r="AK2" s="26" t="s">
        <v>41</v>
      </c>
      <c r="AL2" s="20" t="s">
        <v>42</v>
      </c>
      <c r="AM2" s="12" t="s">
        <v>43</v>
      </c>
      <c r="AN2" s="12" t="s">
        <v>44</v>
      </c>
      <c r="AO2" s="23" t="s">
        <v>45</v>
      </c>
    </row>
    <row r="3" s="47" customFormat="true" ht="27" hidden="false" customHeight="true" outlineLevel="0" collapsed="false">
      <c r="A3" s="28" t="n">
        <v>46196</v>
      </c>
      <c r="B3" s="29" t="s">
        <v>46</v>
      </c>
      <c r="C3" s="29" t="s">
        <v>47</v>
      </c>
      <c r="D3" s="29" t="s">
        <v>48</v>
      </c>
      <c r="E3" s="29" t="s">
        <v>49</v>
      </c>
      <c r="F3" s="29" t="s">
        <v>50</v>
      </c>
      <c r="G3" s="29" t="s">
        <v>51</v>
      </c>
      <c r="H3" s="30" t="s">
        <v>52</v>
      </c>
      <c r="I3" s="31" t="s">
        <v>53</v>
      </c>
      <c r="J3" s="32" t="s">
        <v>54</v>
      </c>
      <c r="K3" s="33" t="s">
        <v>55</v>
      </c>
      <c r="L3" s="33" t="s">
        <v>56</v>
      </c>
      <c r="M3" s="33" t="s">
        <v>57</v>
      </c>
      <c r="N3" s="34" t="n">
        <v>17800.02</v>
      </c>
      <c r="O3" s="35" t="n">
        <v>40</v>
      </c>
      <c r="P3" s="35" t="n">
        <v>3</v>
      </c>
      <c r="Q3" s="33" t="s">
        <v>58</v>
      </c>
      <c r="R3" s="36" t="n">
        <v>23811330</v>
      </c>
      <c r="S3" s="37" t="n">
        <v>485547741</v>
      </c>
      <c r="T3" s="37" t="n">
        <v>518400</v>
      </c>
      <c r="U3" s="38" t="n">
        <v>1</v>
      </c>
      <c r="V3" s="32" t="s">
        <v>59</v>
      </c>
      <c r="W3" s="39" t="s">
        <v>60</v>
      </c>
      <c r="X3" s="35" t="n">
        <v>317520255</v>
      </c>
      <c r="Y3" s="33" t="s">
        <v>61</v>
      </c>
      <c r="Z3" s="35" t="n">
        <v>2871</v>
      </c>
      <c r="AA3" s="40" t="n">
        <v>43248</v>
      </c>
      <c r="AB3" s="41" t="n">
        <v>774</v>
      </c>
      <c r="AC3" s="41" t="n">
        <v>18</v>
      </c>
      <c r="AD3" s="41" t="s">
        <v>62</v>
      </c>
      <c r="AE3" s="33" t="s">
        <v>63</v>
      </c>
      <c r="AF3" s="31" t="s">
        <v>64</v>
      </c>
      <c r="AG3" s="42" t="n">
        <v>-52.1530329547935</v>
      </c>
      <c r="AH3" s="43" t="n">
        <v>-1.43694613261483</v>
      </c>
      <c r="AI3" s="43" t="n">
        <v>-2.14417828679561</v>
      </c>
      <c r="AJ3" s="43" t="s">
        <v>65</v>
      </c>
      <c r="AK3" s="44" t="n">
        <v>1</v>
      </c>
      <c r="AL3" s="32" t="s">
        <v>66</v>
      </c>
      <c r="AM3" s="45"/>
      <c r="AN3" s="46"/>
      <c r="AO3" s="31"/>
    </row>
    <row r="4" s="70" customFormat="true" ht="27" hidden="false" customHeight="true" outlineLevel="0" collapsed="false">
      <c r="A4" s="48" t="n">
        <v>46204</v>
      </c>
      <c r="B4" s="49" t="s">
        <v>67</v>
      </c>
      <c r="C4" s="49" t="s">
        <v>68</v>
      </c>
      <c r="D4" s="49" t="s">
        <v>48</v>
      </c>
      <c r="E4" s="49" t="s">
        <v>49</v>
      </c>
      <c r="F4" s="49" t="s">
        <v>69</v>
      </c>
      <c r="G4" s="49" t="s">
        <v>51</v>
      </c>
      <c r="H4" s="50" t="s">
        <v>70</v>
      </c>
      <c r="I4" s="51" t="s">
        <v>71</v>
      </c>
      <c r="J4" s="52" t="s">
        <v>54</v>
      </c>
      <c r="K4" s="49" t="s">
        <v>55</v>
      </c>
      <c r="L4" s="49" t="s">
        <v>56</v>
      </c>
      <c r="M4" s="49" t="s">
        <v>57</v>
      </c>
      <c r="N4" s="53" t="n">
        <v>17800.02</v>
      </c>
      <c r="O4" s="54" t="n">
        <v>40</v>
      </c>
      <c r="P4" s="54" t="n">
        <v>3</v>
      </c>
      <c r="Q4" s="55" t="s">
        <v>58</v>
      </c>
      <c r="R4" s="56" t="s">
        <v>62</v>
      </c>
      <c r="S4" s="57" t="s">
        <v>62</v>
      </c>
      <c r="T4" s="57" t="n">
        <v>518400</v>
      </c>
      <c r="U4" s="58" t="n">
        <v>1</v>
      </c>
      <c r="V4" s="59" t="s">
        <v>59</v>
      </c>
      <c r="W4" s="60" t="s">
        <v>60</v>
      </c>
      <c r="X4" s="54" t="n">
        <v>317520255</v>
      </c>
      <c r="Y4" s="55" t="s">
        <v>61</v>
      </c>
      <c r="Z4" s="54" t="n">
        <v>2871</v>
      </c>
      <c r="AA4" s="61" t="n">
        <v>43248</v>
      </c>
      <c r="AB4" s="62" t="n">
        <v>774</v>
      </c>
      <c r="AC4" s="62" t="n">
        <v>18</v>
      </c>
      <c r="AD4" s="62" t="s">
        <v>62</v>
      </c>
      <c r="AE4" s="55" t="s">
        <v>63</v>
      </c>
      <c r="AF4" s="63" t="s">
        <v>64</v>
      </c>
      <c r="AG4" s="64" t="s">
        <v>62</v>
      </c>
      <c r="AH4" s="65" t="s">
        <v>62</v>
      </c>
      <c r="AI4" s="65" t="s">
        <v>62</v>
      </c>
      <c r="AJ4" s="66" t="s">
        <v>65</v>
      </c>
      <c r="AK4" s="67" t="n">
        <v>1</v>
      </c>
      <c r="AL4" s="68" t="s">
        <v>72</v>
      </c>
      <c r="AM4" s="45"/>
      <c r="AN4" s="69"/>
      <c r="AO4" s="51"/>
    </row>
    <row r="5" s="92" customFormat="true" ht="56.25" hidden="false" customHeight="true" outlineLevel="0" collapsed="false">
      <c r="A5" s="71" t="n">
        <v>46204</v>
      </c>
      <c r="B5" s="72" t="s">
        <v>73</v>
      </c>
      <c r="C5" s="29" t="s">
        <v>47</v>
      </c>
      <c r="D5" s="72" t="s">
        <v>48</v>
      </c>
      <c r="E5" s="72" t="s">
        <v>49</v>
      </c>
      <c r="F5" s="72" t="s">
        <v>69</v>
      </c>
      <c r="G5" s="72" t="s">
        <v>51</v>
      </c>
      <c r="H5" s="73" t="s">
        <v>74</v>
      </c>
      <c r="I5" s="74" t="s">
        <v>75</v>
      </c>
      <c r="J5" s="75" t="s">
        <v>54</v>
      </c>
      <c r="K5" s="72" t="s">
        <v>55</v>
      </c>
      <c r="L5" s="72" t="s">
        <v>56</v>
      </c>
      <c r="M5" s="72" t="s">
        <v>57</v>
      </c>
      <c r="N5" s="76" t="n">
        <v>17800.02</v>
      </c>
      <c r="O5" s="77" t="n">
        <v>40</v>
      </c>
      <c r="P5" s="77" t="n">
        <v>3</v>
      </c>
      <c r="Q5" s="78" t="s">
        <v>76</v>
      </c>
      <c r="R5" s="79" t="s">
        <v>62</v>
      </c>
      <c r="S5" s="37" t="n">
        <v>518400</v>
      </c>
      <c r="T5" s="80" t="n">
        <v>518400</v>
      </c>
      <c r="U5" s="81" t="n">
        <v>1</v>
      </c>
      <c r="V5" s="82" t="s">
        <v>59</v>
      </c>
      <c r="W5" s="83" t="s">
        <v>60</v>
      </c>
      <c r="X5" s="77" t="n">
        <v>317520255</v>
      </c>
      <c r="Y5" s="78" t="s">
        <v>61</v>
      </c>
      <c r="Z5" s="77" t="n">
        <v>2871</v>
      </c>
      <c r="AA5" s="84" t="n">
        <v>43248</v>
      </c>
      <c r="AB5" s="85" t="n">
        <v>774</v>
      </c>
      <c r="AC5" s="85" t="n">
        <v>18</v>
      </c>
      <c r="AD5" s="85" t="s">
        <v>62</v>
      </c>
      <c r="AE5" s="78" t="s">
        <v>63</v>
      </c>
      <c r="AF5" s="86" t="s">
        <v>64</v>
      </c>
      <c r="AG5" s="87" t="n">
        <v>65.906582586254</v>
      </c>
      <c r="AH5" s="88" t="n">
        <v>-1.33918344025194</v>
      </c>
      <c r="AI5" s="88" t="n">
        <v>-1.33923875948583</v>
      </c>
      <c r="AJ5" s="89" t="s">
        <v>65</v>
      </c>
      <c r="AK5" s="90" t="n">
        <v>1</v>
      </c>
      <c r="AL5" s="32" t="s">
        <v>66</v>
      </c>
      <c r="AM5" s="45" t="s">
        <v>77</v>
      </c>
      <c r="AN5" s="91"/>
      <c r="AO5" s="74"/>
    </row>
    <row r="6" s="47" customFormat="true" ht="27" hidden="false" customHeight="true" outlineLevel="0" collapsed="false">
      <c r="A6" s="71" t="n">
        <v>46205</v>
      </c>
      <c r="B6" s="29" t="s">
        <v>78</v>
      </c>
      <c r="C6" s="29" t="s">
        <v>47</v>
      </c>
      <c r="D6" s="72" t="s">
        <v>48</v>
      </c>
      <c r="E6" s="72" t="s">
        <v>49</v>
      </c>
      <c r="F6" s="29" t="n">
        <v>7920802</v>
      </c>
      <c r="G6" s="72" t="s">
        <v>51</v>
      </c>
      <c r="H6" s="30" t="s">
        <v>79</v>
      </c>
      <c r="I6" s="93" t="s">
        <v>80</v>
      </c>
      <c r="J6" s="94" t="s">
        <v>54</v>
      </c>
      <c r="K6" s="29" t="s">
        <v>55</v>
      </c>
      <c r="L6" s="29" t="s">
        <v>56</v>
      </c>
      <c r="M6" s="29" t="s">
        <v>57</v>
      </c>
      <c r="N6" s="76" t="n">
        <v>17800.02</v>
      </c>
      <c r="O6" s="77" t="n">
        <v>40</v>
      </c>
      <c r="P6" s="77" t="n">
        <v>3</v>
      </c>
      <c r="Q6" s="33" t="s">
        <v>58</v>
      </c>
      <c r="R6" s="36" t="n">
        <v>23811330</v>
      </c>
      <c r="S6" s="37" t="n">
        <v>518400</v>
      </c>
      <c r="T6" s="37" t="n">
        <v>518400</v>
      </c>
      <c r="U6" s="93" t="n">
        <v>1</v>
      </c>
      <c r="V6" s="82" t="s">
        <v>59</v>
      </c>
      <c r="W6" s="83" t="s">
        <v>60</v>
      </c>
      <c r="X6" s="77" t="n">
        <v>317520255</v>
      </c>
      <c r="Y6" s="78" t="s">
        <v>61</v>
      </c>
      <c r="Z6" s="77" t="n">
        <v>2871</v>
      </c>
      <c r="AA6" s="84" t="n">
        <v>43248</v>
      </c>
      <c r="AB6" s="85" t="n">
        <v>774</v>
      </c>
      <c r="AC6" s="85" t="n">
        <v>18</v>
      </c>
      <c r="AD6" s="85" t="s">
        <v>62</v>
      </c>
      <c r="AE6" s="78" t="s">
        <v>63</v>
      </c>
      <c r="AF6" s="86" t="s">
        <v>64</v>
      </c>
      <c r="AG6" s="95" t="n">
        <v>-52.153022264146</v>
      </c>
      <c r="AH6" s="96" t="n">
        <v>-1.43694640392517</v>
      </c>
      <c r="AI6" s="96" t="n">
        <v>-2.14418205837254</v>
      </c>
      <c r="AJ6" s="89" t="s">
        <v>65</v>
      </c>
      <c r="AK6" s="97" t="n">
        <v>1</v>
      </c>
      <c r="AL6" s="32" t="s">
        <v>66</v>
      </c>
      <c r="AM6" s="45"/>
      <c r="AN6" s="46"/>
      <c r="AO6" s="93"/>
    </row>
    <row r="7" s="47" customFormat="true" ht="27" hidden="false" customHeight="true" outlineLevel="0" collapsed="false">
      <c r="A7" s="71" t="n">
        <v>46205</v>
      </c>
      <c r="B7" s="29" t="s">
        <v>81</v>
      </c>
      <c r="C7" s="29" t="s">
        <v>47</v>
      </c>
      <c r="D7" s="72" t="s">
        <v>48</v>
      </c>
      <c r="E7" s="72" t="s">
        <v>49</v>
      </c>
      <c r="F7" s="29" t="n">
        <v>7920802</v>
      </c>
      <c r="G7" s="72" t="s">
        <v>51</v>
      </c>
      <c r="H7" s="30" t="s">
        <v>82</v>
      </c>
      <c r="I7" s="93" t="s">
        <v>83</v>
      </c>
      <c r="J7" s="94" t="s">
        <v>54</v>
      </c>
      <c r="K7" s="29" t="s">
        <v>55</v>
      </c>
      <c r="L7" s="29" t="s">
        <v>56</v>
      </c>
      <c r="M7" s="29" t="s">
        <v>57</v>
      </c>
      <c r="N7" s="76" t="n">
        <v>17800.02</v>
      </c>
      <c r="O7" s="77" t="n">
        <v>40</v>
      </c>
      <c r="P7" s="77" t="n">
        <v>3</v>
      </c>
      <c r="Q7" s="33" t="s">
        <v>58</v>
      </c>
      <c r="R7" s="36" t="n">
        <v>23811330</v>
      </c>
      <c r="S7" s="37" t="n">
        <v>24317761</v>
      </c>
      <c r="T7" s="37" t="n">
        <v>24317761</v>
      </c>
      <c r="U7" s="93" t="n">
        <v>1</v>
      </c>
      <c r="V7" s="82" t="s">
        <v>59</v>
      </c>
      <c r="W7" s="83" t="s">
        <v>60</v>
      </c>
      <c r="X7" s="77" t="n">
        <v>317520255</v>
      </c>
      <c r="Y7" s="78" t="s">
        <v>61</v>
      </c>
      <c r="Z7" s="77" t="n">
        <v>2871</v>
      </c>
      <c r="AA7" s="84" t="n">
        <v>43248</v>
      </c>
      <c r="AB7" s="85" t="n">
        <v>774</v>
      </c>
      <c r="AC7" s="85" t="n">
        <v>18</v>
      </c>
      <c r="AD7" s="85" t="s">
        <v>62</v>
      </c>
      <c r="AE7" s="78" t="s">
        <v>63</v>
      </c>
      <c r="AF7" s="86" t="s">
        <v>64</v>
      </c>
      <c r="AG7" s="95" t="n">
        <v>-52.153022264146</v>
      </c>
      <c r="AH7" s="96" t="n">
        <v>-1.43694640392517</v>
      </c>
      <c r="AI7" s="96" t="n">
        <v>-2.14418205837254</v>
      </c>
      <c r="AJ7" s="89" t="s">
        <v>65</v>
      </c>
      <c r="AK7" s="97" t="n">
        <v>1</v>
      </c>
      <c r="AL7" s="32" t="s">
        <v>66</v>
      </c>
      <c r="AM7" s="45"/>
      <c r="AN7" s="46"/>
      <c r="AO7" s="93"/>
    </row>
    <row r="8" s="47" customFormat="true" ht="12.75" hidden="false" customHeight="true" outlineLevel="0" collapsed="false">
      <c r="A8" s="28"/>
      <c r="B8" s="29"/>
      <c r="C8" s="29"/>
      <c r="D8" s="29"/>
      <c r="E8" s="29"/>
      <c r="F8" s="29"/>
      <c r="G8" s="29"/>
      <c r="H8" s="30"/>
      <c r="I8" s="93"/>
      <c r="J8" s="94"/>
      <c r="K8" s="29"/>
      <c r="L8" s="29"/>
      <c r="M8" s="29"/>
      <c r="N8" s="29"/>
      <c r="O8" s="98"/>
      <c r="P8" s="46"/>
      <c r="Q8" s="33"/>
      <c r="R8" s="36"/>
      <c r="S8" s="37"/>
      <c r="T8" s="99"/>
      <c r="U8" s="93"/>
      <c r="V8" s="100"/>
      <c r="W8" s="101"/>
      <c r="X8" s="46"/>
      <c r="Y8" s="29"/>
      <c r="Z8" s="96"/>
      <c r="AA8" s="96"/>
      <c r="AB8" s="96"/>
      <c r="AC8" s="102"/>
      <c r="AD8" s="102"/>
      <c r="AE8" s="103"/>
      <c r="AF8" s="104"/>
      <c r="AG8" s="95"/>
      <c r="AH8" s="96"/>
      <c r="AI8" s="96"/>
      <c r="AJ8" s="46"/>
      <c r="AK8" s="44"/>
      <c r="AL8" s="105"/>
      <c r="AM8" s="45"/>
      <c r="AN8" s="46"/>
      <c r="AO8" s="93"/>
    </row>
    <row r="9" s="47" customFormat="true" ht="12.75" hidden="false" customHeight="true" outlineLevel="0" collapsed="false">
      <c r="A9" s="28"/>
      <c r="B9" s="29"/>
      <c r="C9" s="29"/>
      <c r="D9" s="29"/>
      <c r="E9" s="29"/>
      <c r="F9" s="29"/>
      <c r="G9" s="29"/>
      <c r="H9" s="30"/>
      <c r="I9" s="93"/>
      <c r="J9" s="94"/>
      <c r="K9" s="29"/>
      <c r="L9" s="29"/>
      <c r="M9" s="29"/>
      <c r="N9" s="29"/>
      <c r="O9" s="98"/>
      <c r="P9" s="46"/>
      <c r="Q9" s="33"/>
      <c r="R9" s="36"/>
      <c r="S9" s="37"/>
      <c r="T9" s="99"/>
      <c r="U9" s="93"/>
      <c r="V9" s="100"/>
      <c r="W9" s="101"/>
      <c r="X9" s="46"/>
      <c r="Y9" s="29"/>
      <c r="Z9" s="96"/>
      <c r="AA9" s="96"/>
      <c r="AB9" s="96"/>
      <c r="AC9" s="102"/>
      <c r="AD9" s="102"/>
      <c r="AE9" s="103"/>
      <c r="AF9" s="104"/>
      <c r="AG9" s="95"/>
      <c r="AH9" s="96"/>
      <c r="AI9" s="96"/>
      <c r="AJ9" s="46"/>
      <c r="AK9" s="44"/>
      <c r="AL9" s="105"/>
      <c r="AM9" s="45"/>
      <c r="AN9" s="46"/>
      <c r="AO9" s="93"/>
    </row>
    <row r="10" s="47" customFormat="true" ht="12.75" hidden="false" customHeight="true" outlineLevel="0" collapsed="false">
      <c r="A10" s="28"/>
      <c r="B10" s="29"/>
      <c r="C10" s="29"/>
      <c r="D10" s="29"/>
      <c r="E10" s="29"/>
      <c r="F10" s="29"/>
      <c r="G10" s="29"/>
      <c r="H10" s="30"/>
      <c r="I10" s="93"/>
      <c r="J10" s="94"/>
      <c r="K10" s="29"/>
      <c r="L10" s="29"/>
      <c r="M10" s="29"/>
      <c r="N10" s="29"/>
      <c r="O10" s="98"/>
      <c r="P10" s="46"/>
      <c r="Q10" s="33"/>
      <c r="R10" s="36"/>
      <c r="S10" s="37"/>
      <c r="T10" s="99"/>
      <c r="U10" s="93"/>
      <c r="V10" s="100"/>
      <c r="W10" s="101"/>
      <c r="X10" s="46"/>
      <c r="Y10" s="29"/>
      <c r="Z10" s="96"/>
      <c r="AA10" s="96"/>
      <c r="AB10" s="96"/>
      <c r="AC10" s="102"/>
      <c r="AD10" s="102"/>
      <c r="AE10" s="103"/>
      <c r="AF10" s="104"/>
      <c r="AG10" s="95"/>
      <c r="AH10" s="96"/>
      <c r="AI10" s="96"/>
      <c r="AJ10" s="46"/>
      <c r="AK10" s="44"/>
      <c r="AL10" s="105"/>
      <c r="AM10" s="45"/>
      <c r="AN10" s="46"/>
      <c r="AO10" s="93"/>
    </row>
    <row r="11" s="47" customFormat="true" ht="12.75" hidden="false" customHeight="true" outlineLevel="0" collapsed="false">
      <c r="A11" s="106"/>
      <c r="B11" s="107"/>
      <c r="C11" s="107"/>
      <c r="D11" s="107"/>
      <c r="E11" s="107"/>
      <c r="F11" s="107"/>
      <c r="G11" s="107"/>
      <c r="H11" s="108"/>
      <c r="I11" s="109"/>
      <c r="J11" s="110"/>
      <c r="K11" s="107"/>
      <c r="L11" s="107"/>
      <c r="M11" s="107"/>
      <c r="N11" s="107"/>
      <c r="O11" s="111"/>
      <c r="P11" s="112"/>
      <c r="Q11" s="107"/>
      <c r="R11" s="113"/>
      <c r="S11" s="112"/>
      <c r="T11" s="114"/>
      <c r="U11" s="109"/>
      <c r="V11" s="115"/>
      <c r="W11" s="116"/>
      <c r="X11" s="112"/>
      <c r="Y11" s="107"/>
      <c r="Z11" s="117"/>
      <c r="AA11" s="117"/>
      <c r="AB11" s="117"/>
      <c r="AC11" s="118"/>
      <c r="AD11" s="118"/>
      <c r="AE11" s="119"/>
      <c r="AF11" s="120"/>
      <c r="AG11" s="121"/>
      <c r="AH11" s="117"/>
      <c r="AI11" s="117"/>
      <c r="AJ11" s="112"/>
      <c r="AK11" s="122"/>
      <c r="AL11" s="123"/>
      <c r="AM11" s="124"/>
      <c r="AN11" s="112"/>
      <c r="AO11" s="109"/>
    </row>
  </sheetData>
  <mergeCells count="5">
    <mergeCell ref="A1:I1"/>
    <mergeCell ref="J1:U1"/>
    <mergeCell ref="V1:AF1"/>
    <mergeCell ref="AG1:AK1"/>
    <mergeCell ref="AL1:AO1"/>
  </mergeCells>
  <dataValidations count="8">
    <dataValidation allowBlank="true" errorStyle="stop" operator="between" showDropDown="false" showErrorMessage="true" showInputMessage="true" sqref="R3:S4 AM3:AM11 R5:R10 S7:T7 S8:S10" type="none">
      <formula1>0</formula1>
      <formula2>0</formula2>
    </dataValidation>
    <dataValidation allowBlank="true" errorStyle="stop" operator="between" showDropDown="false" showErrorMessage="false" showInputMessage="false" sqref="J3:J11" type="list">
      <formula1>Listas!$F$2:$F$5</formula1>
      <formula2>0</formula2>
    </dataValidation>
    <dataValidation allowBlank="true" errorStyle="stop" operator="between" showDropDown="false" showErrorMessage="false" showInputMessage="false" sqref="AL3:AL11" type="list">
      <formula1>Listas!$D$2:$D$5</formula1>
      <formula2>0</formula2>
    </dataValidation>
    <dataValidation allowBlank="true" errorStyle="stop" operator="between" showDropDown="false" showErrorMessage="false" showInputMessage="false" sqref="Q11:R11" type="list">
      <formula1>Listas!$E$2:$E$3</formula1>
      <formula2>0</formula2>
    </dataValidation>
    <dataValidation allowBlank="true" errorStyle="stop" operator="between" showDropDown="false" showErrorMessage="false" showInputMessage="false" sqref="L3:L11" type="list">
      <formula1>Listas!$C$2:$C$3</formula1>
      <formula2>0</formula2>
    </dataValidation>
    <dataValidation allowBlank="true" errorStyle="stop" operator="between" showDropDown="false" showErrorMessage="false" showInputMessage="false" sqref="K3:K11" type="list">
      <formula1>Listas!$B$2:$B$4</formula1>
      <formula2>0</formula2>
    </dataValidation>
    <dataValidation allowBlank="true" errorStyle="stop" operator="between" showDropDown="false" showErrorMessage="false" showInputMessage="false" sqref="C3:C11" type="list">
      <formula1>Listas!$A$2:$A$7</formula1>
      <formula2>0</formula2>
    </dataValidation>
    <dataValidation allowBlank="true" errorStyle="stop" operator="between" showDropDown="false" showErrorMessage="false" showInputMessage="false" sqref="Q3:Q10" type="list">
      <formula1>Listas!$E$2:$E$8</formula1>
      <formula2>0</formula2>
    </dataValidation>
  </dataValidations>
  <printOptions headings="false" gridLines="false" gridLinesSet="true" horizontalCentered="false" verticalCentered="false"/>
  <pageMargins left="0.511805555555556" right="0.511805555555556"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5"/>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pane xSplit="0" ySplit="1" topLeftCell="A7" activePane="bottomLeft" state="frozen"/>
      <selection pane="topLeft" activeCell="A1" activeCellId="0" sqref="A1"/>
      <selection pane="bottomLeft" activeCell="B20" activeCellId="1" sqref="B31:B66 B20"/>
    </sheetView>
  </sheetViews>
  <sheetFormatPr defaultColWidth="8.71484375" defaultRowHeight="14.25" zeroHeight="false" outlineLevelRow="0" outlineLevelCol="0"/>
  <cols>
    <col collapsed="false" customWidth="true" hidden="false" outlineLevel="0" max="2" min="1" style="125" width="26"/>
    <col collapsed="false" customWidth="true" hidden="false" outlineLevel="0" max="3" min="3" style="125" width="50"/>
    <col collapsed="false" customWidth="true" hidden="false" outlineLevel="0" max="6" min="4" style="125" width="14"/>
    <col collapsed="false" customWidth="true" hidden="false" outlineLevel="0" max="7" min="7" style="125" width="24"/>
    <col collapsed="false" customWidth="true" hidden="false" outlineLevel="0" max="8" min="8" style="125" width="34"/>
  </cols>
  <sheetData>
    <row r="1" customFormat="false" ht="63.75" hidden="false" customHeight="true" outlineLevel="0" collapsed="false">
      <c r="A1" s="126" t="s">
        <v>84</v>
      </c>
      <c r="B1" s="126" t="s">
        <v>85</v>
      </c>
      <c r="C1" s="126" t="s">
        <v>86</v>
      </c>
      <c r="D1" s="126" t="s">
        <v>87</v>
      </c>
      <c r="E1" s="126" t="s">
        <v>88</v>
      </c>
      <c r="F1" s="126" t="s">
        <v>89</v>
      </c>
      <c r="G1" s="126" t="s">
        <v>90</v>
      </c>
      <c r="H1" s="126" t="s">
        <v>91</v>
      </c>
    </row>
    <row r="2" customFormat="false" ht="15" hidden="false" customHeight="true" outlineLevel="0" collapsed="false">
      <c r="A2" s="127" t="s">
        <v>0</v>
      </c>
      <c r="B2" s="128" t="s">
        <v>6</v>
      </c>
      <c r="C2" s="128" t="s">
        <v>92</v>
      </c>
      <c r="D2" s="128" t="s">
        <v>93</v>
      </c>
      <c r="E2" s="128" t="s">
        <v>94</v>
      </c>
      <c r="F2" s="128"/>
      <c r="G2" s="128" t="s">
        <v>46</v>
      </c>
      <c r="H2" s="128" t="s">
        <v>95</v>
      </c>
    </row>
    <row r="3" customFormat="false" ht="15" hidden="false" customHeight="true" outlineLevel="0" collapsed="false">
      <c r="A3" s="127"/>
      <c r="B3" s="128" t="s">
        <v>5</v>
      </c>
      <c r="C3" s="128" t="s">
        <v>96</v>
      </c>
      <c r="D3" s="128" t="s">
        <v>97</v>
      </c>
      <c r="E3" s="128" t="s">
        <v>94</v>
      </c>
      <c r="F3" s="128"/>
      <c r="G3" s="128" t="s">
        <v>98</v>
      </c>
      <c r="H3" s="128" t="s">
        <v>99</v>
      </c>
    </row>
    <row r="4" customFormat="false" ht="15" hidden="false" customHeight="true" outlineLevel="0" collapsed="false">
      <c r="A4" s="127"/>
      <c r="B4" s="128" t="s">
        <v>7</v>
      </c>
      <c r="C4" s="128" t="s">
        <v>100</v>
      </c>
      <c r="D4" s="128" t="s">
        <v>101</v>
      </c>
      <c r="E4" s="128" t="s">
        <v>94</v>
      </c>
      <c r="F4" s="128" t="s">
        <v>102</v>
      </c>
      <c r="G4" s="128" t="s">
        <v>47</v>
      </c>
      <c r="H4" s="128" t="s">
        <v>103</v>
      </c>
    </row>
    <row r="5" customFormat="false" ht="15" hidden="false" customHeight="true" outlineLevel="0" collapsed="false">
      <c r="A5" s="127"/>
      <c r="B5" s="128" t="s">
        <v>104</v>
      </c>
      <c r="C5" s="128" t="s">
        <v>105</v>
      </c>
      <c r="D5" s="128" t="s">
        <v>93</v>
      </c>
      <c r="E5" s="128" t="s">
        <v>106</v>
      </c>
      <c r="F5" s="128"/>
      <c r="G5" s="128" t="s">
        <v>48</v>
      </c>
      <c r="H5" s="128"/>
    </row>
    <row r="6" customFormat="false" ht="15" hidden="false" customHeight="true" outlineLevel="0" collapsed="false">
      <c r="A6" s="127"/>
      <c r="B6" s="128" t="s">
        <v>9</v>
      </c>
      <c r="C6" s="128" t="s">
        <v>107</v>
      </c>
      <c r="D6" s="128" t="s">
        <v>93</v>
      </c>
      <c r="E6" s="128" t="s">
        <v>106</v>
      </c>
      <c r="F6" s="128"/>
      <c r="G6" s="128" t="s">
        <v>49</v>
      </c>
      <c r="H6" s="128" t="s">
        <v>108</v>
      </c>
    </row>
    <row r="7" customFormat="false" ht="30" hidden="false" customHeight="true" outlineLevel="0" collapsed="false">
      <c r="A7" s="127"/>
      <c r="B7" s="128" t="s">
        <v>10</v>
      </c>
      <c r="C7" s="128" t="s">
        <v>109</v>
      </c>
      <c r="D7" s="128" t="s">
        <v>93</v>
      </c>
      <c r="E7" s="128" t="s">
        <v>106</v>
      </c>
      <c r="F7" s="128"/>
      <c r="G7" s="128" t="s">
        <v>50</v>
      </c>
      <c r="H7" s="128" t="s">
        <v>108</v>
      </c>
    </row>
    <row r="8" customFormat="false" ht="15" hidden="false" customHeight="true" outlineLevel="0" collapsed="false">
      <c r="A8" s="127"/>
      <c r="B8" s="128" t="s">
        <v>110</v>
      </c>
      <c r="C8" s="128" t="s">
        <v>111</v>
      </c>
      <c r="D8" s="128" t="s">
        <v>112</v>
      </c>
      <c r="E8" s="128" t="s">
        <v>113</v>
      </c>
      <c r="F8" s="128"/>
      <c r="G8" s="128" t="s">
        <v>114</v>
      </c>
      <c r="H8" s="128" t="s">
        <v>115</v>
      </c>
    </row>
    <row r="9" customFormat="false" ht="15" hidden="false" customHeight="true" outlineLevel="0" collapsed="false">
      <c r="A9" s="127" t="s">
        <v>1</v>
      </c>
      <c r="B9" s="128" t="s">
        <v>15</v>
      </c>
      <c r="C9" s="128" t="s">
        <v>116</v>
      </c>
      <c r="D9" s="128" t="s">
        <v>101</v>
      </c>
      <c r="E9" s="128" t="s">
        <v>94</v>
      </c>
      <c r="F9" s="128" t="s">
        <v>117</v>
      </c>
      <c r="G9" s="128" t="s">
        <v>55</v>
      </c>
      <c r="H9" s="128" t="s">
        <v>118</v>
      </c>
    </row>
    <row r="10" customFormat="false" ht="15" hidden="false" customHeight="true" outlineLevel="0" collapsed="false">
      <c r="A10" s="127"/>
      <c r="B10" s="128" t="s">
        <v>16</v>
      </c>
      <c r="C10" s="128" t="s">
        <v>119</v>
      </c>
      <c r="D10" s="128" t="s">
        <v>101</v>
      </c>
      <c r="E10" s="128" t="s">
        <v>94</v>
      </c>
      <c r="F10" s="128" t="s">
        <v>120</v>
      </c>
      <c r="G10" s="128" t="s">
        <v>56</v>
      </c>
      <c r="H10" s="128" t="s">
        <v>121</v>
      </c>
    </row>
    <row r="11" customFormat="false" ht="15" hidden="false" customHeight="true" outlineLevel="0" collapsed="false">
      <c r="A11" s="127"/>
      <c r="B11" s="128" t="s">
        <v>122</v>
      </c>
      <c r="C11" s="128" t="s">
        <v>123</v>
      </c>
      <c r="D11" s="128" t="s">
        <v>93</v>
      </c>
      <c r="E11" s="128" t="s">
        <v>124</v>
      </c>
      <c r="F11" s="128"/>
      <c r="G11" s="128" t="s">
        <v>57</v>
      </c>
      <c r="H11" s="128"/>
    </row>
    <row r="12" customFormat="false" ht="15" hidden="false" customHeight="true" outlineLevel="0" collapsed="false">
      <c r="A12" s="127"/>
      <c r="B12" s="128" t="s">
        <v>18</v>
      </c>
      <c r="C12" s="128" t="s">
        <v>125</v>
      </c>
      <c r="D12" s="128" t="s">
        <v>112</v>
      </c>
      <c r="E12" s="128" t="s">
        <v>94</v>
      </c>
      <c r="F12" s="128"/>
      <c r="G12" s="128" t="s">
        <v>126</v>
      </c>
      <c r="H12" s="128" t="s">
        <v>127</v>
      </c>
    </row>
    <row r="13" customFormat="false" ht="15" hidden="false" customHeight="true" outlineLevel="0" collapsed="false">
      <c r="A13" s="127"/>
      <c r="B13" s="128" t="s">
        <v>19</v>
      </c>
      <c r="C13" s="128" t="s">
        <v>128</v>
      </c>
      <c r="D13" s="128" t="s">
        <v>112</v>
      </c>
      <c r="E13" s="128" t="s">
        <v>94</v>
      </c>
      <c r="F13" s="128"/>
      <c r="G13" s="128" t="s">
        <v>129</v>
      </c>
      <c r="H13" s="128" t="s">
        <v>130</v>
      </c>
    </row>
    <row r="14" customFormat="false" ht="15" hidden="false" customHeight="true" outlineLevel="0" collapsed="false">
      <c r="A14" s="127"/>
      <c r="B14" s="128" t="s">
        <v>20</v>
      </c>
      <c r="C14" s="128" t="s">
        <v>131</v>
      </c>
      <c r="D14" s="128" t="s">
        <v>112</v>
      </c>
      <c r="E14" s="128" t="s">
        <v>94</v>
      </c>
      <c r="F14" s="128"/>
      <c r="G14" s="128" t="s">
        <v>132</v>
      </c>
      <c r="H14" s="128" t="s">
        <v>133</v>
      </c>
    </row>
    <row r="15" customFormat="false" ht="30" hidden="false" customHeight="true" outlineLevel="0" collapsed="false">
      <c r="A15" s="127"/>
      <c r="B15" s="128" t="s">
        <v>134</v>
      </c>
      <c r="C15" s="128" t="s">
        <v>135</v>
      </c>
      <c r="D15" s="128" t="s">
        <v>101</v>
      </c>
      <c r="E15" s="128" t="s">
        <v>106</v>
      </c>
      <c r="F15" s="128" t="s">
        <v>136</v>
      </c>
      <c r="G15" s="128" t="s">
        <v>137</v>
      </c>
      <c r="H15" s="128" t="s">
        <v>138</v>
      </c>
    </row>
    <row r="16" customFormat="false" ht="15" hidden="false" customHeight="true" outlineLevel="0" collapsed="false">
      <c r="A16" s="127"/>
      <c r="B16" s="128" t="s">
        <v>139</v>
      </c>
      <c r="C16" s="128" t="s">
        <v>140</v>
      </c>
      <c r="D16" s="128" t="s">
        <v>112</v>
      </c>
      <c r="E16" s="128" t="s">
        <v>106</v>
      </c>
      <c r="F16" s="128"/>
      <c r="G16" s="128" t="s">
        <v>141</v>
      </c>
      <c r="H16" s="128"/>
    </row>
    <row r="17" customFormat="false" ht="15" hidden="false" customHeight="true" outlineLevel="0" collapsed="false">
      <c r="A17" s="127"/>
      <c r="B17" s="128" t="s">
        <v>25</v>
      </c>
      <c r="C17" s="128" t="s">
        <v>142</v>
      </c>
      <c r="D17" s="128" t="s">
        <v>112</v>
      </c>
      <c r="E17" s="128" t="s">
        <v>94</v>
      </c>
      <c r="F17" s="128"/>
      <c r="G17" s="128" t="s">
        <v>143</v>
      </c>
      <c r="H17" s="128" t="s">
        <v>115</v>
      </c>
    </row>
    <row r="18" customFormat="false" ht="15" hidden="false" customHeight="true" outlineLevel="0" collapsed="false">
      <c r="A18" s="127" t="s">
        <v>144</v>
      </c>
      <c r="B18" s="128" t="s">
        <v>145</v>
      </c>
      <c r="C18" s="128" t="s">
        <v>146</v>
      </c>
      <c r="D18" s="128" t="s">
        <v>93</v>
      </c>
      <c r="E18" s="128" t="s">
        <v>94</v>
      </c>
      <c r="F18" s="128"/>
      <c r="G18" s="128" t="s">
        <v>59</v>
      </c>
      <c r="H18" s="128"/>
    </row>
    <row r="19" customFormat="false" ht="15" hidden="false" customHeight="true" outlineLevel="0" collapsed="false">
      <c r="A19" s="127"/>
      <c r="B19" s="128" t="s">
        <v>147</v>
      </c>
      <c r="C19" s="128" t="s">
        <v>148</v>
      </c>
      <c r="D19" s="128" t="s">
        <v>93</v>
      </c>
      <c r="E19" s="128" t="s">
        <v>94</v>
      </c>
      <c r="F19" s="128"/>
      <c r="G19" s="128" t="s">
        <v>60</v>
      </c>
      <c r="H19" s="128" t="s">
        <v>149</v>
      </c>
    </row>
    <row r="20" customFormat="false" ht="15" hidden="false" customHeight="true" outlineLevel="0" collapsed="false">
      <c r="A20" s="127"/>
      <c r="B20" s="128" t="s">
        <v>28</v>
      </c>
      <c r="C20" s="128" t="s">
        <v>150</v>
      </c>
      <c r="D20" s="128" t="s">
        <v>112</v>
      </c>
      <c r="E20" s="128" t="s">
        <v>94</v>
      </c>
      <c r="F20" s="128"/>
      <c r="G20" s="128" t="s">
        <v>151</v>
      </c>
      <c r="H20" s="128" t="s">
        <v>152</v>
      </c>
    </row>
    <row r="21" customFormat="false" ht="15" hidden="false" customHeight="true" outlineLevel="0" collapsed="false">
      <c r="A21" s="127"/>
      <c r="B21" s="128" t="s">
        <v>29</v>
      </c>
      <c r="C21" s="128" t="s">
        <v>153</v>
      </c>
      <c r="D21" s="128" t="s">
        <v>93</v>
      </c>
      <c r="E21" s="128" t="s">
        <v>124</v>
      </c>
      <c r="F21" s="128"/>
      <c r="G21" s="128" t="s">
        <v>61</v>
      </c>
      <c r="H21" s="128"/>
    </row>
    <row r="22" customFormat="false" ht="15" hidden="false" customHeight="true" outlineLevel="0" collapsed="false">
      <c r="A22" s="127"/>
      <c r="B22" s="128" t="s">
        <v>30</v>
      </c>
      <c r="C22" s="128" t="s">
        <v>154</v>
      </c>
      <c r="D22" s="128" t="s">
        <v>112</v>
      </c>
      <c r="E22" s="128" t="s">
        <v>106</v>
      </c>
      <c r="F22" s="128"/>
      <c r="G22" s="128" t="s">
        <v>155</v>
      </c>
      <c r="H22" s="128"/>
    </row>
    <row r="23" customFormat="false" ht="15" hidden="false" customHeight="true" outlineLevel="0" collapsed="false">
      <c r="A23" s="127"/>
      <c r="B23" s="128" t="s">
        <v>31</v>
      </c>
      <c r="C23" s="128" t="s">
        <v>156</v>
      </c>
      <c r="D23" s="128" t="s">
        <v>97</v>
      </c>
      <c r="E23" s="128" t="s">
        <v>124</v>
      </c>
      <c r="F23" s="128"/>
      <c r="G23" s="128" t="s">
        <v>157</v>
      </c>
      <c r="H23" s="128" t="s">
        <v>99</v>
      </c>
    </row>
    <row r="24" customFormat="false" ht="15" hidden="false" customHeight="true" outlineLevel="0" collapsed="false">
      <c r="A24" s="127"/>
      <c r="B24" s="128" t="s">
        <v>32</v>
      </c>
      <c r="C24" s="128" t="s">
        <v>158</v>
      </c>
      <c r="D24" s="128" t="s">
        <v>112</v>
      </c>
      <c r="E24" s="128" t="s">
        <v>106</v>
      </c>
      <c r="F24" s="128"/>
      <c r="G24" s="128" t="s">
        <v>159</v>
      </c>
      <c r="H24" s="128"/>
    </row>
    <row r="25" customFormat="false" ht="15" hidden="false" customHeight="true" outlineLevel="0" collapsed="false">
      <c r="A25" s="127"/>
      <c r="B25" s="128" t="s">
        <v>160</v>
      </c>
      <c r="C25" s="128" t="s">
        <v>161</v>
      </c>
      <c r="D25" s="128" t="s">
        <v>162</v>
      </c>
      <c r="E25" s="128" t="s">
        <v>94</v>
      </c>
      <c r="F25" s="128"/>
      <c r="G25" s="128" t="s">
        <v>63</v>
      </c>
      <c r="H25" s="128" t="s">
        <v>163</v>
      </c>
    </row>
    <row r="26" customFormat="false" ht="15" hidden="false" customHeight="true" outlineLevel="0" collapsed="false">
      <c r="A26" s="127"/>
      <c r="B26" s="128" t="s">
        <v>164</v>
      </c>
      <c r="C26" s="128" t="s">
        <v>165</v>
      </c>
      <c r="D26" s="128" t="s">
        <v>162</v>
      </c>
      <c r="E26" s="128" t="s">
        <v>94</v>
      </c>
      <c r="F26" s="128"/>
      <c r="G26" s="128" t="s">
        <v>64</v>
      </c>
      <c r="H26" s="128" t="s">
        <v>163</v>
      </c>
    </row>
    <row r="27" customFormat="false" ht="15" hidden="false" customHeight="true" outlineLevel="0" collapsed="false">
      <c r="A27" s="127" t="s">
        <v>166</v>
      </c>
      <c r="B27" s="128" t="s">
        <v>37</v>
      </c>
      <c r="C27" s="128" t="s">
        <v>167</v>
      </c>
      <c r="D27" s="128" t="s">
        <v>112</v>
      </c>
      <c r="E27" s="128" t="s">
        <v>94</v>
      </c>
      <c r="F27" s="128"/>
      <c r="G27" s="128" t="s">
        <v>168</v>
      </c>
      <c r="H27" s="128" t="s">
        <v>169</v>
      </c>
    </row>
    <row r="28" customFormat="false" ht="15" hidden="false" customHeight="true" outlineLevel="0" collapsed="false">
      <c r="A28" s="127"/>
      <c r="B28" s="128" t="s">
        <v>38</v>
      </c>
      <c r="C28" s="128" t="s">
        <v>170</v>
      </c>
      <c r="D28" s="128" t="s">
        <v>112</v>
      </c>
      <c r="E28" s="128" t="s">
        <v>94</v>
      </c>
      <c r="F28" s="128"/>
      <c r="G28" s="128" t="s">
        <v>171</v>
      </c>
      <c r="H28" s="128" t="s">
        <v>169</v>
      </c>
    </row>
    <row r="29" customFormat="false" ht="15" hidden="false" customHeight="true" outlineLevel="0" collapsed="false">
      <c r="A29" s="127"/>
      <c r="B29" s="128" t="s">
        <v>39</v>
      </c>
      <c r="C29" s="128" t="s">
        <v>172</v>
      </c>
      <c r="D29" s="128" t="s">
        <v>112</v>
      </c>
      <c r="E29" s="128" t="s">
        <v>94</v>
      </c>
      <c r="F29" s="128"/>
      <c r="G29" s="128" t="s">
        <v>173</v>
      </c>
      <c r="H29" s="128" t="s">
        <v>169</v>
      </c>
    </row>
    <row r="30" customFormat="false" ht="15" hidden="false" customHeight="true" outlineLevel="0" collapsed="false">
      <c r="A30" s="127"/>
      <c r="B30" s="128" t="s">
        <v>174</v>
      </c>
      <c r="C30" s="128" t="s">
        <v>175</v>
      </c>
      <c r="D30" s="128" t="s">
        <v>112</v>
      </c>
      <c r="E30" s="128" t="s">
        <v>94</v>
      </c>
      <c r="F30" s="128"/>
      <c r="G30" s="128" t="s">
        <v>176</v>
      </c>
      <c r="H30" s="128" t="s">
        <v>177</v>
      </c>
    </row>
    <row r="31" customFormat="false" ht="15" hidden="false" customHeight="true" outlineLevel="0" collapsed="false">
      <c r="A31" s="127"/>
      <c r="B31" s="128" t="s">
        <v>178</v>
      </c>
      <c r="C31" s="128" t="s">
        <v>179</v>
      </c>
      <c r="D31" s="128" t="s">
        <v>93</v>
      </c>
      <c r="E31" s="128" t="s">
        <v>124</v>
      </c>
      <c r="F31" s="128"/>
      <c r="G31" s="128" t="s">
        <v>180</v>
      </c>
      <c r="H31" s="128"/>
    </row>
    <row r="32" customFormat="false" ht="15" hidden="false" customHeight="true" outlineLevel="0" collapsed="false">
      <c r="A32" s="127" t="s">
        <v>181</v>
      </c>
      <c r="B32" s="128" t="s">
        <v>42</v>
      </c>
      <c r="C32" s="128" t="s">
        <v>182</v>
      </c>
      <c r="D32" s="128" t="s">
        <v>101</v>
      </c>
      <c r="E32" s="128" t="s">
        <v>113</v>
      </c>
      <c r="F32" s="128" t="s">
        <v>183</v>
      </c>
      <c r="G32" s="128" t="s">
        <v>66</v>
      </c>
      <c r="H32" s="128" t="s">
        <v>103</v>
      </c>
    </row>
    <row r="33" customFormat="false" ht="15" hidden="false" customHeight="true" outlineLevel="0" collapsed="false">
      <c r="A33" s="127"/>
      <c r="B33" s="128" t="s">
        <v>184</v>
      </c>
      <c r="C33" s="128" t="s">
        <v>185</v>
      </c>
      <c r="D33" s="128" t="s">
        <v>162</v>
      </c>
      <c r="E33" s="128" t="s">
        <v>113</v>
      </c>
      <c r="F33" s="128"/>
      <c r="G33" s="128" t="s">
        <v>186</v>
      </c>
      <c r="H33" s="128"/>
    </row>
    <row r="34" customFormat="false" ht="15" hidden="false" customHeight="true" outlineLevel="0" collapsed="false">
      <c r="A34" s="127"/>
      <c r="B34" s="128" t="s">
        <v>44</v>
      </c>
      <c r="C34" s="128" t="s">
        <v>187</v>
      </c>
      <c r="D34" s="128" t="s">
        <v>93</v>
      </c>
      <c r="E34" s="128" t="s">
        <v>124</v>
      </c>
      <c r="F34" s="128"/>
      <c r="G34" s="128" t="s">
        <v>188</v>
      </c>
      <c r="H34" s="128"/>
    </row>
    <row r="35" customFormat="false" ht="15" hidden="false" customHeight="true" outlineLevel="0" collapsed="false">
      <c r="A35" s="127"/>
      <c r="B35" s="128" t="s">
        <v>189</v>
      </c>
      <c r="C35" s="128" t="s">
        <v>190</v>
      </c>
      <c r="D35" s="128" t="s">
        <v>191</v>
      </c>
      <c r="E35" s="128" t="s">
        <v>113</v>
      </c>
      <c r="F35" s="128"/>
      <c r="G35" s="128" t="s">
        <v>192</v>
      </c>
      <c r="H35" s="128"/>
    </row>
    <row r="36" customFormat="false" ht="15" hidden="false" customHeight="true" outlineLevel="0" collapsed="false"/>
    <row r="37" customFormat="false" ht="15" hidden="false" customHeight="true" outlineLevel="0" collapsed="false"/>
    <row r="38" customFormat="false" ht="15" hidden="false" customHeight="true" outlineLevel="0" collapsed="false"/>
    <row r="39" customFormat="false" ht="15" hidden="false" customHeight="true" outlineLevel="0" collapsed="false"/>
    <row r="40" customFormat="false" ht="15" hidden="false" customHeight="true" outlineLevel="0" collapsed="false"/>
    <row r="41" customFormat="false" ht="15" hidden="false" customHeight="true" outlineLevel="0" collapsed="false"/>
    <row r="42" customFormat="false" ht="15" hidden="false" customHeight="true" outlineLevel="0" collapsed="false"/>
    <row r="43" customFormat="false" ht="15" hidden="false" customHeight="true" outlineLevel="0" collapsed="false"/>
    <row r="44" customFormat="false" ht="15" hidden="false" customHeight="true" outlineLevel="0" collapsed="false"/>
    <row r="45" customFormat="false" ht="30" hidden="false" customHeight="true" outlineLevel="0" collapsed="false"/>
    <row r="46" customFormat="false" ht="30" hidden="false" customHeight="true" outlineLevel="0" collapsed="false"/>
    <row r="47" customFormat="false" ht="30" hidden="false" customHeight="true" outlineLevel="0" collapsed="false"/>
    <row r="48" customFormat="false" ht="15" hidden="false" customHeight="true" outlineLevel="0" collapsed="false"/>
    <row r="49" customFormat="false" ht="15" hidden="false" customHeight="true" outlineLevel="0" collapsed="false"/>
    <row r="50" customFormat="false" ht="15" hidden="false" customHeight="true" outlineLevel="0" collapsed="false"/>
    <row r="51" customFormat="false" ht="15" hidden="false" customHeight="true" outlineLevel="0" collapsed="false"/>
    <row r="52" customFormat="false" ht="15" hidden="false" customHeight="true" outlineLevel="0" collapsed="false"/>
    <row r="53" customFormat="false" ht="15" hidden="false" customHeight="true" outlineLevel="0" collapsed="false"/>
    <row r="54" customFormat="false" ht="15" hidden="false" customHeight="true" outlineLevel="0" collapsed="false"/>
    <row r="55" customFormat="false" ht="15" hidden="false" customHeight="true" outlineLevel="0" collapsed="false"/>
    <row r="56" customFormat="false" ht="30" hidden="false" customHeight="true" outlineLevel="0" collapsed="false"/>
    <row r="57" customFormat="false" ht="15" hidden="false" customHeight="true" outlineLevel="0" collapsed="false"/>
    <row r="58" customFormat="false" ht="30" hidden="false" customHeight="true" outlineLevel="0" collapsed="false"/>
    <row r="59" customFormat="false" ht="15" hidden="false" customHeight="true" outlineLevel="0" collapsed="false"/>
    <row r="60" customFormat="false" ht="15" hidden="false" customHeight="true" outlineLevel="0" collapsed="false"/>
    <row r="61" customFormat="false" ht="15" hidden="false" customHeight="true" outlineLevel="0" collapsed="false"/>
    <row r="62" customFormat="false" ht="15" hidden="false" customHeight="true" outlineLevel="0" collapsed="false"/>
    <row r="63" customFormat="false" ht="15" hidden="false" customHeight="true" outlineLevel="0" collapsed="false"/>
    <row r="64" customFormat="false" ht="30" hidden="false" customHeight="true" outlineLevel="0" collapsed="false"/>
    <row r="65" customFormat="false" ht="30" hidden="false" customHeight="true" outlineLevel="0" collapsed="false"/>
  </sheetData>
  <mergeCells count="5">
    <mergeCell ref="A2:A8"/>
    <mergeCell ref="A9:A17"/>
    <mergeCell ref="A18:A26"/>
    <mergeCell ref="A27:A31"/>
    <mergeCell ref="A32:A3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pane xSplit="0" ySplit="1" topLeftCell="A2" activePane="bottomLeft" state="frozen"/>
      <selection pane="topLeft" activeCell="A1" activeCellId="0" sqref="A1"/>
      <selection pane="bottomLeft" activeCell="F11" activeCellId="1" sqref="B31:B66 F11"/>
    </sheetView>
  </sheetViews>
  <sheetFormatPr defaultColWidth="8.71484375" defaultRowHeight="14.25" zeroHeight="false" outlineLevelRow="0" outlineLevelCol="0"/>
  <cols>
    <col collapsed="false" customWidth="true" hidden="false" outlineLevel="0" max="4" min="1" style="125" width="16"/>
    <col collapsed="false" customWidth="true" hidden="false" outlineLevel="0" max="5" min="5" style="125" width="21.14"/>
    <col collapsed="false" customWidth="true" hidden="false" outlineLevel="0" max="6" min="6" style="125" width="26"/>
    <col collapsed="false" customWidth="true" hidden="false" outlineLevel="0" max="7" min="7" style="125" width="22.86"/>
    <col collapsed="false" customWidth="true" hidden="false" outlineLevel="0" max="14" min="8" style="125" width="16"/>
  </cols>
  <sheetData>
    <row r="1" customFormat="false" ht="42.75" hidden="false" customHeight="true" outlineLevel="0" collapsed="false">
      <c r="A1" s="129" t="s">
        <v>7</v>
      </c>
      <c r="B1" s="129" t="s">
        <v>15</v>
      </c>
      <c r="C1" s="129" t="s">
        <v>16</v>
      </c>
      <c r="D1" s="129" t="s">
        <v>42</v>
      </c>
      <c r="E1" s="129" t="s">
        <v>21</v>
      </c>
      <c r="F1" s="129" t="s">
        <v>193</v>
      </c>
      <c r="G1" s="129" t="s">
        <v>34</v>
      </c>
    </row>
    <row r="2" customFormat="false" ht="15" hidden="false" customHeight="true" outlineLevel="0" collapsed="false">
      <c r="A2" s="130" t="s">
        <v>194</v>
      </c>
      <c r="B2" s="130" t="s">
        <v>55</v>
      </c>
      <c r="C2" s="130" t="s">
        <v>56</v>
      </c>
      <c r="D2" s="130" t="s">
        <v>66</v>
      </c>
      <c r="E2" s="131" t="s">
        <v>58</v>
      </c>
      <c r="F2" s="132" t="s">
        <v>54</v>
      </c>
      <c r="G2" s="125" t="s">
        <v>62</v>
      </c>
    </row>
    <row r="3" customFormat="false" ht="15" hidden="false" customHeight="true" outlineLevel="0" collapsed="false">
      <c r="A3" s="130" t="s">
        <v>195</v>
      </c>
      <c r="B3" s="130" t="s">
        <v>196</v>
      </c>
      <c r="C3" s="130" t="s">
        <v>197</v>
      </c>
      <c r="D3" s="130" t="s">
        <v>72</v>
      </c>
      <c r="E3" s="131" t="s">
        <v>76</v>
      </c>
      <c r="F3" s="132" t="s">
        <v>198</v>
      </c>
      <c r="G3" s="125" t="s">
        <v>199</v>
      </c>
    </row>
    <row r="4" customFormat="false" ht="15" hidden="false" customHeight="true" outlineLevel="0" collapsed="false">
      <c r="A4" s="130" t="s">
        <v>47</v>
      </c>
      <c r="B4" s="130" t="s">
        <v>200</v>
      </c>
      <c r="D4" s="130" t="s">
        <v>201</v>
      </c>
      <c r="E4" s="132" t="s">
        <v>202</v>
      </c>
      <c r="F4" s="132" t="s">
        <v>203</v>
      </c>
      <c r="G4" s="125" t="s">
        <v>204</v>
      </c>
    </row>
    <row r="5" customFormat="false" ht="15" hidden="false" customHeight="true" outlineLevel="0" collapsed="false">
      <c r="A5" s="130" t="s">
        <v>205</v>
      </c>
      <c r="D5" s="130" t="s">
        <v>206</v>
      </c>
      <c r="E5" s="132" t="s">
        <v>207</v>
      </c>
      <c r="F5" s="132" t="s">
        <v>208</v>
      </c>
    </row>
    <row r="6" customFormat="false" ht="15" hidden="false" customHeight="true" outlineLevel="0" collapsed="false">
      <c r="A6" s="130" t="s">
        <v>68</v>
      </c>
      <c r="E6" s="132" t="s">
        <v>209</v>
      </c>
    </row>
    <row r="7" customFormat="false" ht="15" hidden="false" customHeight="true" outlineLevel="0" collapsed="false">
      <c r="A7" s="130" t="s">
        <v>210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29"/>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B13" activeCellId="1" sqref="B31:B66 B13"/>
    </sheetView>
  </sheetViews>
  <sheetFormatPr defaultColWidth="8.72265625" defaultRowHeight="14.25" zeroHeight="false" outlineLevelRow="0" outlineLevelCol="0"/>
  <cols>
    <col collapsed="false" customWidth="true" hidden="false" outlineLevel="0" max="1" min="1" style="133" width="1.3"/>
    <col collapsed="false" customWidth="true" hidden="false" outlineLevel="0" max="2" min="2" style="134" width="59.43"/>
    <col collapsed="false" customWidth="true" hidden="false" outlineLevel="0" max="3" min="3" style="135" width="9.71"/>
    <col collapsed="false" customWidth="true" hidden="false" outlineLevel="0" max="4" min="4" style="136" width="9.57"/>
    <col collapsed="false" customWidth="true" hidden="false" outlineLevel="0" max="5" min="5" style="136" width="6.14"/>
    <col collapsed="false" customWidth="true" hidden="false" outlineLevel="0" max="6" min="6" style="136" width="13.43"/>
    <col collapsed="false" customWidth="true" hidden="false" outlineLevel="0" max="7" min="7" style="136" width="32.72"/>
    <col collapsed="false" customWidth="false" hidden="false" outlineLevel="0" max="16384" min="8" style="133" width="8.72"/>
  </cols>
  <sheetData>
    <row r="1" s="137" customFormat="true" ht="14.25" hidden="false" customHeight="true" outlineLevel="0" collapsed="false">
      <c r="B1" s="20" t="s">
        <v>211</v>
      </c>
      <c r="C1" s="138" t="s">
        <v>212</v>
      </c>
      <c r="D1" s="12" t="s">
        <v>213</v>
      </c>
      <c r="E1" s="12" t="s">
        <v>214</v>
      </c>
      <c r="F1" s="12" t="s">
        <v>215</v>
      </c>
      <c r="G1" s="12" t="s">
        <v>216</v>
      </c>
    </row>
    <row r="2" customFormat="false" ht="40.5" hidden="false" customHeight="true" outlineLevel="0" collapsed="false">
      <c r="B2" s="139" t="s">
        <v>217</v>
      </c>
      <c r="C2" s="140" t="n">
        <v>0</v>
      </c>
      <c r="D2" s="141" t="s">
        <v>218</v>
      </c>
      <c r="E2" s="141"/>
      <c r="F2" s="141"/>
      <c r="G2" s="141"/>
    </row>
    <row r="3" customFormat="false" ht="40.5" hidden="false" customHeight="true" outlineLevel="0" collapsed="false">
      <c r="B3" s="139" t="s">
        <v>219</v>
      </c>
      <c r="C3" s="140" t="n">
        <v>1</v>
      </c>
      <c r="D3" s="141" t="s">
        <v>218</v>
      </c>
      <c r="E3" s="141"/>
      <c r="F3" s="141"/>
      <c r="G3" s="141"/>
    </row>
    <row r="4" customFormat="false" ht="102" hidden="false" customHeight="true" outlineLevel="0" collapsed="false">
      <c r="B4" s="139" t="s">
        <v>220</v>
      </c>
      <c r="C4" s="140" t="n">
        <v>1</v>
      </c>
      <c r="D4" s="141" t="s">
        <v>218</v>
      </c>
      <c r="E4" s="141"/>
      <c r="F4" s="141"/>
      <c r="G4" s="141"/>
    </row>
    <row r="5" customFormat="false" ht="30" hidden="false" customHeight="true" outlineLevel="0" collapsed="false">
      <c r="B5" s="139" t="s">
        <v>221</v>
      </c>
      <c r="C5" s="140"/>
      <c r="D5" s="140" t="s">
        <v>218</v>
      </c>
      <c r="E5" s="139"/>
      <c r="F5" s="139"/>
      <c r="G5" s="139"/>
    </row>
    <row r="6" customFormat="false" ht="30" hidden="false" customHeight="true" outlineLevel="0" collapsed="false">
      <c r="B6" s="139" t="s">
        <v>222</v>
      </c>
      <c r="C6" s="140"/>
      <c r="D6" s="140" t="s">
        <v>218</v>
      </c>
      <c r="E6" s="139"/>
      <c r="F6" s="139"/>
      <c r="G6" s="139"/>
    </row>
    <row r="7" customFormat="false" ht="20.25" hidden="false" customHeight="true" outlineLevel="0" collapsed="false">
      <c r="B7" s="139" t="s">
        <v>223</v>
      </c>
      <c r="C7" s="140"/>
      <c r="D7" s="140" t="s">
        <v>218</v>
      </c>
      <c r="E7" s="139"/>
      <c r="F7" s="139"/>
      <c r="G7" s="139"/>
    </row>
    <row r="8" customFormat="false" ht="20.25" hidden="false" customHeight="true" outlineLevel="0" collapsed="false">
      <c r="B8" s="139" t="s">
        <v>224</v>
      </c>
      <c r="C8" s="140"/>
      <c r="D8" s="141" t="s">
        <v>225</v>
      </c>
      <c r="E8" s="141"/>
      <c r="F8" s="141"/>
      <c r="G8" s="141"/>
    </row>
    <row r="9" customFormat="false" ht="14.25" hidden="false" customHeight="true" outlineLevel="0" collapsed="false">
      <c r="B9" s="139" t="s">
        <v>226</v>
      </c>
      <c r="C9" s="140"/>
      <c r="D9" s="141" t="s">
        <v>225</v>
      </c>
      <c r="E9" s="141"/>
      <c r="F9" s="141"/>
      <c r="G9" s="141"/>
    </row>
    <row r="10" customFormat="false" ht="30" hidden="false" customHeight="true" outlineLevel="0" collapsed="false">
      <c r="B10" s="139" t="s">
        <v>227</v>
      </c>
      <c r="C10" s="140"/>
      <c r="D10" s="141" t="s">
        <v>225</v>
      </c>
      <c r="E10" s="141"/>
      <c r="F10" s="141"/>
      <c r="G10" s="141"/>
    </row>
    <row r="11" customFormat="false" ht="20.25" hidden="false" customHeight="true" outlineLevel="0" collapsed="false">
      <c r="B11" s="139" t="s">
        <v>228</v>
      </c>
      <c r="C11" s="140"/>
      <c r="D11" s="141" t="s">
        <v>225</v>
      </c>
      <c r="E11" s="141"/>
      <c r="F11" s="141"/>
      <c r="G11" s="141"/>
    </row>
    <row r="12" customFormat="false" ht="20.25" hidden="false" customHeight="true" outlineLevel="0" collapsed="false">
      <c r="B12" s="139" t="s">
        <v>229</v>
      </c>
      <c r="C12" s="140"/>
      <c r="D12" s="141" t="s">
        <v>225</v>
      </c>
      <c r="E12" s="141"/>
      <c r="F12" s="141"/>
      <c r="G12" s="141"/>
    </row>
    <row r="13" customFormat="false" ht="30" hidden="false" customHeight="true" outlineLevel="0" collapsed="false">
      <c r="B13" s="139" t="s">
        <v>230</v>
      </c>
      <c r="C13" s="140"/>
      <c r="D13" s="141" t="s">
        <v>225</v>
      </c>
      <c r="E13" s="141"/>
      <c r="F13" s="141"/>
      <c r="G13" s="141"/>
    </row>
    <row r="14" customFormat="false" ht="20.25" hidden="false" customHeight="true" outlineLevel="0" collapsed="false">
      <c r="B14" s="139" t="s">
        <v>231</v>
      </c>
      <c r="C14" s="140"/>
      <c r="D14" s="141" t="s">
        <v>225</v>
      </c>
      <c r="E14" s="141"/>
      <c r="F14" s="141"/>
      <c r="G14" s="141"/>
    </row>
    <row r="15" customFormat="false" ht="20.25" hidden="false" customHeight="true" outlineLevel="0" collapsed="false">
      <c r="B15" s="139" t="s">
        <v>232</v>
      </c>
      <c r="C15" s="140"/>
      <c r="D15" s="141" t="s">
        <v>225</v>
      </c>
      <c r="E15" s="141"/>
      <c r="F15" s="141"/>
      <c r="G15" s="141"/>
    </row>
    <row r="16" customFormat="false" ht="20.25" hidden="false" customHeight="true" outlineLevel="0" collapsed="false">
      <c r="B16" s="139" t="s">
        <v>233</v>
      </c>
      <c r="C16" s="140"/>
      <c r="D16" s="141" t="s">
        <v>225</v>
      </c>
      <c r="E16" s="141"/>
      <c r="F16" s="141"/>
      <c r="G16" s="141"/>
    </row>
    <row r="17" customFormat="false" ht="20.25" hidden="false" customHeight="true" outlineLevel="0" collapsed="false">
      <c r="B17" s="139" t="s">
        <v>234</v>
      </c>
      <c r="C17" s="140"/>
      <c r="D17" s="141" t="s">
        <v>225</v>
      </c>
      <c r="E17" s="141"/>
      <c r="F17" s="141"/>
      <c r="G17" s="141"/>
    </row>
    <row r="18" customFormat="false" ht="20.25" hidden="false" customHeight="true" outlineLevel="0" collapsed="false">
      <c r="B18" s="139" t="s">
        <v>235</v>
      </c>
      <c r="C18" s="140"/>
      <c r="D18" s="141" t="s">
        <v>225</v>
      </c>
      <c r="E18" s="141"/>
      <c r="F18" s="141"/>
      <c r="G18" s="141"/>
    </row>
    <row r="19" customFormat="false" ht="20.25" hidden="false" customHeight="true" outlineLevel="0" collapsed="false">
      <c r="B19" s="139" t="s">
        <v>236</v>
      </c>
      <c r="C19" s="140"/>
      <c r="D19" s="141" t="s">
        <v>225</v>
      </c>
      <c r="E19" s="141"/>
      <c r="F19" s="141"/>
      <c r="G19" s="141"/>
    </row>
    <row r="20" customFormat="false" ht="20.25" hidden="false" customHeight="true" outlineLevel="0" collapsed="false">
      <c r="B20" s="139" t="s">
        <v>237</v>
      </c>
      <c r="C20" s="140"/>
      <c r="D20" s="141" t="s">
        <v>225</v>
      </c>
      <c r="E20" s="141"/>
      <c r="F20" s="141"/>
      <c r="G20" s="141"/>
    </row>
    <row r="21" customFormat="false" ht="14.25" hidden="false" customHeight="true" outlineLevel="0" collapsed="false">
      <c r="B21" s="139" t="s">
        <v>238</v>
      </c>
      <c r="C21" s="140"/>
      <c r="D21" s="141" t="s">
        <v>225</v>
      </c>
      <c r="E21" s="141"/>
      <c r="F21" s="141"/>
      <c r="G21" s="141"/>
    </row>
    <row r="22" customFormat="false" ht="20.25" hidden="false" customHeight="true" outlineLevel="0" collapsed="false">
      <c r="B22" s="139" t="s">
        <v>239</v>
      </c>
      <c r="C22" s="140"/>
      <c r="D22" s="141" t="s">
        <v>225</v>
      </c>
      <c r="E22" s="141"/>
      <c r="F22" s="141"/>
      <c r="G22" s="141"/>
    </row>
    <row r="23" customFormat="false" ht="20.25" hidden="false" customHeight="true" outlineLevel="0" collapsed="false">
      <c r="B23" s="139" t="s">
        <v>240</v>
      </c>
      <c r="C23" s="140"/>
      <c r="D23" s="141" t="s">
        <v>225</v>
      </c>
      <c r="E23" s="141"/>
      <c r="F23" s="141"/>
      <c r="G23" s="141"/>
    </row>
    <row r="24" customFormat="false" ht="20.25" hidden="false" customHeight="true" outlineLevel="0" collapsed="false">
      <c r="B24" s="139" t="s">
        <v>241</v>
      </c>
      <c r="C24" s="140"/>
      <c r="D24" s="141" t="s">
        <v>225</v>
      </c>
      <c r="E24" s="141"/>
      <c r="F24" s="141"/>
      <c r="G24" s="141"/>
    </row>
    <row r="25" customFormat="false" ht="20.25" hidden="false" customHeight="true" outlineLevel="0" collapsed="false">
      <c r="B25" s="139" t="s">
        <v>242</v>
      </c>
      <c r="C25" s="140"/>
      <c r="D25" s="141" t="s">
        <v>225</v>
      </c>
      <c r="E25" s="140"/>
      <c r="F25" s="140"/>
      <c r="G25" s="140"/>
    </row>
    <row r="26" customFormat="false" ht="20.25" hidden="false" customHeight="true" outlineLevel="0" collapsed="false">
      <c r="B26" s="139" t="s">
        <v>243</v>
      </c>
      <c r="C26" s="140"/>
      <c r="D26" s="141" t="s">
        <v>225</v>
      </c>
      <c r="E26" s="140"/>
      <c r="F26" s="140"/>
      <c r="G26" s="140"/>
    </row>
    <row r="27" customFormat="false" ht="30" hidden="false" customHeight="true" outlineLevel="0" collapsed="false">
      <c r="B27" s="139" t="s">
        <v>244</v>
      </c>
      <c r="C27" s="140"/>
      <c r="D27" s="141" t="s">
        <v>245</v>
      </c>
      <c r="E27" s="139"/>
      <c r="F27" s="139"/>
      <c r="G27" s="139"/>
    </row>
    <row r="28" customFormat="false" ht="30" hidden="false" customHeight="true" outlineLevel="0" collapsed="false">
      <c r="B28" s="139" t="s">
        <v>246</v>
      </c>
      <c r="C28" s="140"/>
      <c r="D28" s="141" t="s">
        <v>245</v>
      </c>
      <c r="E28" s="139"/>
      <c r="F28" s="139"/>
      <c r="G28" s="139"/>
    </row>
    <row r="29" customFormat="false" ht="30" hidden="false" customHeight="true" outlineLevel="0" collapsed="false">
      <c r="B29" s="139" t="s">
        <v>247</v>
      </c>
      <c r="C29" s="140"/>
      <c r="D29" s="141" t="s">
        <v>245</v>
      </c>
      <c r="E29" s="139"/>
      <c r="F29" s="139"/>
      <c r="G29" s="139"/>
    </row>
  </sheetData>
  <printOptions headings="false" gridLines="false" gridLinesSet="true" horizontalCentered="false" verticalCentered="false"/>
  <pageMargins left="0.511805555555556" right="0.511805555555556"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66"/>
  <sheetViews>
    <sheetView showFormulas="false" showGridLines="true" showRowColHeaders="true" showZeros="true" rightToLeft="false" tabSelected="true" showOutlineSymbols="true" defaultGridColor="true" view="normal" topLeftCell="A1" colorId="64" zoomScale="140" zoomScaleNormal="140" zoomScalePageLayoutView="100" workbookViewId="0">
      <pane xSplit="0" ySplit="1" topLeftCell="A64" activePane="bottomLeft" state="frozen"/>
      <selection pane="topLeft" activeCell="A1" activeCellId="0" sqref="A1"/>
      <selection pane="bottomLeft" activeCell="B31" activeCellId="0" sqref="B31:B66"/>
    </sheetView>
  </sheetViews>
  <sheetFormatPr defaultColWidth="8.59765625" defaultRowHeight="15" zeroHeight="false" outlineLevelRow="0" outlineLevelCol="0"/>
  <cols>
    <col collapsed="false" customWidth="true" hidden="false" outlineLevel="0" max="1" min="1" style="125" width="1.3"/>
    <col collapsed="false" customWidth="true" hidden="false" outlineLevel="0" max="2" min="2" style="125" width="48"/>
    <col collapsed="false" customWidth="true" hidden="false" outlineLevel="0" max="3" min="3" style="125" width="13.75"/>
    <col collapsed="false" customWidth="true" hidden="false" outlineLevel="0" max="4" min="4" style="125" width="11"/>
    <col collapsed="false" customWidth="true" hidden="false" outlineLevel="0" max="5" min="5" style="125" width="14"/>
    <col collapsed="false" customWidth="true" hidden="false" outlineLevel="0" max="6" min="6" style="125" width="11"/>
    <col collapsed="false" customWidth="true" hidden="false" outlineLevel="0" max="7" min="7" style="125" width="60"/>
    <col collapsed="false" customWidth="true" hidden="false" outlineLevel="0" max="8" min="8" style="125" width="65"/>
    <col collapsed="false" customWidth="true" hidden="false" outlineLevel="0" max="9" min="9" style="125" width="38"/>
  </cols>
  <sheetData>
    <row r="1" customFormat="false" ht="26.25" hidden="false" customHeight="true" outlineLevel="0" collapsed="false">
      <c r="B1" s="142" t="s">
        <v>211</v>
      </c>
      <c r="C1" s="142" t="s">
        <v>212</v>
      </c>
      <c r="D1" s="142" t="s">
        <v>213</v>
      </c>
      <c r="E1" s="142" t="s">
        <v>214</v>
      </c>
      <c r="F1" s="142" t="s">
        <v>215</v>
      </c>
      <c r="G1" s="142" t="s">
        <v>248</v>
      </c>
      <c r="H1" s="142" t="s">
        <v>249</v>
      </c>
      <c r="I1" s="142" t="s">
        <v>250</v>
      </c>
    </row>
    <row r="2" customFormat="false" ht="191.25" hidden="false" customHeight="true" outlineLevel="0" collapsed="false">
      <c r="B2" s="143" t="s">
        <v>217</v>
      </c>
      <c r="C2" s="144" t="n">
        <v>0</v>
      </c>
      <c r="D2" s="144" t="s">
        <v>218</v>
      </c>
      <c r="E2" s="145" t="s">
        <v>251</v>
      </c>
      <c r="F2" s="145" t="s">
        <v>252</v>
      </c>
      <c r="G2" s="143" t="s">
        <v>253</v>
      </c>
      <c r="H2" s="143" t="s">
        <v>254</v>
      </c>
      <c r="I2" s="143" t="s">
        <v>255</v>
      </c>
    </row>
    <row r="3" customFormat="false" ht="165.75" hidden="false" customHeight="true" outlineLevel="0" collapsed="false">
      <c r="B3" s="143" t="s">
        <v>219</v>
      </c>
      <c r="C3" s="144" t="n">
        <v>1</v>
      </c>
      <c r="D3" s="144" t="s">
        <v>218</v>
      </c>
      <c r="E3" s="146" t="s">
        <v>256</v>
      </c>
      <c r="F3" s="146" t="s">
        <v>257</v>
      </c>
      <c r="G3" s="143" t="s">
        <v>258</v>
      </c>
      <c r="H3" s="143" t="s">
        <v>259</v>
      </c>
      <c r="I3" s="143" t="s">
        <v>260</v>
      </c>
    </row>
    <row r="4" customFormat="false" ht="216.75" hidden="false" customHeight="true" outlineLevel="0" collapsed="false">
      <c r="B4" s="143" t="s">
        <v>220</v>
      </c>
      <c r="C4" s="144" t="n">
        <v>1</v>
      </c>
      <c r="D4" s="144" t="s">
        <v>218</v>
      </c>
      <c r="E4" s="146" t="s">
        <v>256</v>
      </c>
      <c r="F4" s="146" t="s">
        <v>257</v>
      </c>
      <c r="G4" s="143" t="s">
        <v>261</v>
      </c>
      <c r="H4" s="143" t="s">
        <v>262</v>
      </c>
      <c r="I4" s="143" t="s">
        <v>263</v>
      </c>
    </row>
    <row r="5" customFormat="false" ht="128.25" hidden="false" customHeight="true" outlineLevel="0" collapsed="false">
      <c r="B5" s="143" t="s">
        <v>221</v>
      </c>
      <c r="C5" s="144"/>
      <c r="D5" s="144" t="s">
        <v>218</v>
      </c>
      <c r="E5" s="145" t="s">
        <v>251</v>
      </c>
      <c r="F5" s="145" t="s">
        <v>257</v>
      </c>
      <c r="G5" s="143" t="s">
        <v>264</v>
      </c>
      <c r="H5" s="143" t="s">
        <v>265</v>
      </c>
      <c r="I5" s="143" t="s">
        <v>266</v>
      </c>
    </row>
    <row r="6" customFormat="false" ht="141" hidden="false" customHeight="true" outlineLevel="0" collapsed="false">
      <c r="B6" s="143" t="s">
        <v>222</v>
      </c>
      <c r="C6" s="144"/>
      <c r="D6" s="144" t="s">
        <v>218</v>
      </c>
      <c r="E6" s="145" t="s">
        <v>251</v>
      </c>
      <c r="F6" s="145" t="s">
        <v>257</v>
      </c>
      <c r="G6" s="143" t="s">
        <v>267</v>
      </c>
      <c r="H6" s="143" t="s">
        <v>268</v>
      </c>
      <c r="I6" s="143" t="s">
        <v>269</v>
      </c>
    </row>
    <row r="7" customFormat="false" ht="128.25" hidden="false" customHeight="true" outlineLevel="0" collapsed="false">
      <c r="B7" s="143" t="s">
        <v>223</v>
      </c>
      <c r="C7" s="144"/>
      <c r="D7" s="144" t="s">
        <v>218</v>
      </c>
      <c r="E7" s="145" t="s">
        <v>251</v>
      </c>
      <c r="F7" s="145" t="s">
        <v>252</v>
      </c>
      <c r="G7" s="143" t="s">
        <v>270</v>
      </c>
      <c r="H7" s="143" t="s">
        <v>271</v>
      </c>
      <c r="I7" s="143" t="s">
        <v>272</v>
      </c>
    </row>
    <row r="8" customFormat="false" ht="115.5" hidden="false" customHeight="true" outlineLevel="0" collapsed="false">
      <c r="B8" s="143" t="s">
        <v>224</v>
      </c>
      <c r="C8" s="144"/>
      <c r="D8" s="144" t="s">
        <v>225</v>
      </c>
      <c r="E8" s="147" t="s">
        <v>273</v>
      </c>
      <c r="F8" s="147" t="s">
        <v>257</v>
      </c>
      <c r="G8" s="143" t="s">
        <v>274</v>
      </c>
      <c r="H8" s="143" t="s">
        <v>275</v>
      </c>
      <c r="I8" s="143" t="s">
        <v>276</v>
      </c>
    </row>
    <row r="9" customFormat="false" ht="77.25" hidden="false" customHeight="true" outlineLevel="0" collapsed="false">
      <c r="B9" s="143" t="s">
        <v>226</v>
      </c>
      <c r="C9" s="144"/>
      <c r="D9" s="144" t="s">
        <v>225</v>
      </c>
      <c r="E9" s="146" t="s">
        <v>256</v>
      </c>
      <c r="F9" s="146" t="s">
        <v>257</v>
      </c>
      <c r="G9" s="143" t="s">
        <v>277</v>
      </c>
      <c r="H9" s="143" t="s">
        <v>278</v>
      </c>
      <c r="I9" s="143" t="s">
        <v>279</v>
      </c>
    </row>
    <row r="10" customFormat="false" ht="128.25" hidden="false" customHeight="true" outlineLevel="0" collapsed="false">
      <c r="B10" s="143" t="s">
        <v>227</v>
      </c>
      <c r="C10" s="144"/>
      <c r="D10" s="144" t="s">
        <v>225</v>
      </c>
      <c r="E10" s="146" t="s">
        <v>256</v>
      </c>
      <c r="F10" s="146" t="s">
        <v>257</v>
      </c>
      <c r="G10" s="143" t="s">
        <v>280</v>
      </c>
      <c r="H10" s="143" t="s">
        <v>281</v>
      </c>
      <c r="I10" s="143" t="s">
        <v>282</v>
      </c>
    </row>
    <row r="11" customFormat="false" ht="115.5" hidden="false" customHeight="true" outlineLevel="0" collapsed="false">
      <c r="B11" s="143" t="s">
        <v>228</v>
      </c>
      <c r="C11" s="144"/>
      <c r="D11" s="144" t="s">
        <v>225</v>
      </c>
      <c r="E11" s="146" t="s">
        <v>256</v>
      </c>
      <c r="F11" s="146" t="s">
        <v>257</v>
      </c>
      <c r="G11" s="143" t="s">
        <v>283</v>
      </c>
      <c r="H11" s="143" t="s">
        <v>284</v>
      </c>
      <c r="I11" s="143" t="s">
        <v>285</v>
      </c>
    </row>
    <row r="12" customFormat="false" ht="90" hidden="false" customHeight="true" outlineLevel="0" collapsed="false">
      <c r="B12" s="143" t="s">
        <v>229</v>
      </c>
      <c r="C12" s="144"/>
      <c r="D12" s="144" t="s">
        <v>225</v>
      </c>
      <c r="E12" s="146" t="s">
        <v>256</v>
      </c>
      <c r="F12" s="146" t="s">
        <v>257</v>
      </c>
      <c r="G12" s="143" t="s">
        <v>286</v>
      </c>
      <c r="H12" s="143" t="s">
        <v>287</v>
      </c>
      <c r="I12" s="143" t="s">
        <v>288</v>
      </c>
    </row>
    <row r="13" customFormat="false" ht="128.25" hidden="false" customHeight="true" outlineLevel="0" collapsed="false">
      <c r="B13" s="143" t="s">
        <v>230</v>
      </c>
      <c r="C13" s="144"/>
      <c r="D13" s="144" t="s">
        <v>225</v>
      </c>
      <c r="E13" s="146" t="s">
        <v>256</v>
      </c>
      <c r="F13" s="146" t="s">
        <v>257</v>
      </c>
      <c r="G13" s="143" t="s">
        <v>289</v>
      </c>
      <c r="H13" s="143" t="s">
        <v>290</v>
      </c>
      <c r="I13" s="143" t="s">
        <v>291</v>
      </c>
    </row>
    <row r="14" customFormat="false" ht="90" hidden="false" customHeight="true" outlineLevel="0" collapsed="false">
      <c r="B14" s="143" t="s">
        <v>231</v>
      </c>
      <c r="C14" s="144"/>
      <c r="D14" s="144" t="s">
        <v>225</v>
      </c>
      <c r="E14" s="145" t="s">
        <v>251</v>
      </c>
      <c r="F14" s="145" t="s">
        <v>257</v>
      </c>
      <c r="G14" s="143" t="s">
        <v>292</v>
      </c>
      <c r="H14" s="143" t="s">
        <v>293</v>
      </c>
      <c r="I14" s="143" t="s">
        <v>294</v>
      </c>
    </row>
    <row r="15" customFormat="false" ht="115.5" hidden="false" customHeight="true" outlineLevel="0" collapsed="false">
      <c r="B15" s="143" t="s">
        <v>232</v>
      </c>
      <c r="C15" s="144"/>
      <c r="D15" s="144" t="s">
        <v>225</v>
      </c>
      <c r="E15" s="146" t="s">
        <v>256</v>
      </c>
      <c r="F15" s="146" t="s">
        <v>257</v>
      </c>
      <c r="G15" s="143" t="s">
        <v>295</v>
      </c>
      <c r="H15" s="143" t="s">
        <v>296</v>
      </c>
      <c r="I15" s="143" t="s">
        <v>297</v>
      </c>
    </row>
    <row r="16" customFormat="false" ht="102.75" hidden="false" customHeight="true" outlineLevel="0" collapsed="false">
      <c r="B16" s="143" t="s">
        <v>233</v>
      </c>
      <c r="C16" s="144"/>
      <c r="D16" s="144" t="s">
        <v>225</v>
      </c>
      <c r="E16" s="145" t="s">
        <v>251</v>
      </c>
      <c r="F16" s="145" t="s">
        <v>257</v>
      </c>
      <c r="G16" s="143" t="s">
        <v>298</v>
      </c>
      <c r="H16" s="143" t="s">
        <v>299</v>
      </c>
      <c r="I16" s="143" t="s">
        <v>300</v>
      </c>
    </row>
    <row r="17" customFormat="false" ht="90" hidden="false" customHeight="true" outlineLevel="0" collapsed="false">
      <c r="B17" s="143" t="s">
        <v>234</v>
      </c>
      <c r="C17" s="144"/>
      <c r="D17" s="144" t="s">
        <v>225</v>
      </c>
      <c r="E17" s="145" t="s">
        <v>251</v>
      </c>
      <c r="F17" s="145" t="s">
        <v>257</v>
      </c>
      <c r="G17" s="143" t="s">
        <v>301</v>
      </c>
      <c r="H17" s="143" t="s">
        <v>302</v>
      </c>
      <c r="I17" s="143" t="s">
        <v>303</v>
      </c>
    </row>
    <row r="18" customFormat="false" ht="90" hidden="false" customHeight="true" outlineLevel="0" collapsed="false">
      <c r="B18" s="143" t="s">
        <v>235</v>
      </c>
      <c r="C18" s="144"/>
      <c r="D18" s="144" t="s">
        <v>225</v>
      </c>
      <c r="E18" s="146" t="s">
        <v>256</v>
      </c>
      <c r="F18" s="146" t="s">
        <v>257</v>
      </c>
      <c r="G18" s="143" t="s">
        <v>304</v>
      </c>
      <c r="H18" s="143" t="s">
        <v>305</v>
      </c>
      <c r="I18" s="143" t="s">
        <v>306</v>
      </c>
    </row>
    <row r="19" customFormat="false" ht="115.5" hidden="false" customHeight="true" outlineLevel="0" collapsed="false">
      <c r="B19" s="143" t="s">
        <v>236</v>
      </c>
      <c r="C19" s="144"/>
      <c r="D19" s="144" t="s">
        <v>225</v>
      </c>
      <c r="E19" s="146" t="s">
        <v>256</v>
      </c>
      <c r="F19" s="146" t="s">
        <v>257</v>
      </c>
      <c r="G19" s="143" t="s">
        <v>307</v>
      </c>
      <c r="H19" s="143" t="s">
        <v>308</v>
      </c>
      <c r="I19" s="143" t="s">
        <v>309</v>
      </c>
    </row>
    <row r="20" customFormat="false" ht="90" hidden="false" customHeight="true" outlineLevel="0" collapsed="false">
      <c r="B20" s="143" t="s">
        <v>237</v>
      </c>
      <c r="C20" s="144"/>
      <c r="D20" s="144" t="s">
        <v>225</v>
      </c>
      <c r="E20" s="146" t="s">
        <v>256</v>
      </c>
      <c r="F20" s="146" t="s">
        <v>257</v>
      </c>
      <c r="G20" s="143" t="s">
        <v>310</v>
      </c>
      <c r="H20" s="143" t="s">
        <v>311</v>
      </c>
      <c r="I20" s="143" t="s">
        <v>312</v>
      </c>
    </row>
    <row r="21" customFormat="false" ht="90" hidden="false" customHeight="true" outlineLevel="0" collapsed="false">
      <c r="B21" s="143" t="s">
        <v>238</v>
      </c>
      <c r="C21" s="144"/>
      <c r="D21" s="144" t="s">
        <v>225</v>
      </c>
      <c r="E21" s="146" t="s">
        <v>256</v>
      </c>
      <c r="F21" s="146" t="s">
        <v>257</v>
      </c>
      <c r="G21" s="143" t="s">
        <v>313</v>
      </c>
      <c r="H21" s="143" t="s">
        <v>314</v>
      </c>
      <c r="I21" s="143" t="s">
        <v>315</v>
      </c>
    </row>
    <row r="22" customFormat="false" ht="102.75" hidden="false" customHeight="true" outlineLevel="0" collapsed="false">
      <c r="B22" s="143" t="s">
        <v>239</v>
      </c>
      <c r="C22" s="144"/>
      <c r="D22" s="144" t="s">
        <v>225</v>
      </c>
      <c r="E22" s="146" t="s">
        <v>256</v>
      </c>
      <c r="F22" s="146" t="s">
        <v>257</v>
      </c>
      <c r="G22" s="143" t="s">
        <v>316</v>
      </c>
      <c r="H22" s="143" t="s">
        <v>317</v>
      </c>
      <c r="I22" s="143" t="s">
        <v>318</v>
      </c>
    </row>
    <row r="23" customFormat="false" ht="102.75" hidden="false" customHeight="true" outlineLevel="0" collapsed="false">
      <c r="B23" s="143" t="s">
        <v>240</v>
      </c>
      <c r="C23" s="144"/>
      <c r="D23" s="144" t="s">
        <v>225</v>
      </c>
      <c r="E23" s="146" t="s">
        <v>256</v>
      </c>
      <c r="F23" s="146" t="s">
        <v>257</v>
      </c>
      <c r="G23" s="143" t="s">
        <v>319</v>
      </c>
      <c r="H23" s="143" t="s">
        <v>320</v>
      </c>
      <c r="I23" s="143" t="s">
        <v>321</v>
      </c>
    </row>
    <row r="24" customFormat="false" ht="102.75" hidden="false" customHeight="true" outlineLevel="0" collapsed="false">
      <c r="B24" s="143" t="s">
        <v>241</v>
      </c>
      <c r="C24" s="144"/>
      <c r="D24" s="144" t="s">
        <v>225</v>
      </c>
      <c r="E24" s="146" t="s">
        <v>256</v>
      </c>
      <c r="F24" s="146" t="s">
        <v>257</v>
      </c>
      <c r="G24" s="143" t="s">
        <v>322</v>
      </c>
      <c r="H24" s="143" t="s">
        <v>323</v>
      </c>
      <c r="I24" s="143" t="s">
        <v>324</v>
      </c>
    </row>
    <row r="25" customFormat="false" ht="77.25" hidden="false" customHeight="true" outlineLevel="0" collapsed="false">
      <c r="B25" s="143" t="s">
        <v>242</v>
      </c>
      <c r="C25" s="144"/>
      <c r="D25" s="144" t="s">
        <v>225</v>
      </c>
      <c r="E25" s="145" t="s">
        <v>251</v>
      </c>
      <c r="F25" s="145" t="s">
        <v>257</v>
      </c>
      <c r="G25" s="143" t="s">
        <v>325</v>
      </c>
      <c r="H25" s="143" t="s">
        <v>326</v>
      </c>
      <c r="I25" s="143" t="s">
        <v>327</v>
      </c>
    </row>
    <row r="26" customFormat="false" ht="115.5" hidden="false" customHeight="true" outlineLevel="0" collapsed="false">
      <c r="B26" s="143" t="s">
        <v>243</v>
      </c>
      <c r="C26" s="144"/>
      <c r="D26" s="144" t="s">
        <v>225</v>
      </c>
      <c r="E26" s="146" t="s">
        <v>256</v>
      </c>
      <c r="F26" s="146" t="s">
        <v>257</v>
      </c>
      <c r="G26" s="143" t="s">
        <v>328</v>
      </c>
      <c r="H26" s="143" t="s">
        <v>329</v>
      </c>
      <c r="I26" s="143" t="s">
        <v>330</v>
      </c>
    </row>
    <row r="27" customFormat="false" ht="128.25" hidden="false" customHeight="true" outlineLevel="0" collapsed="false">
      <c r="B27" s="143" t="s">
        <v>244</v>
      </c>
      <c r="C27" s="144"/>
      <c r="D27" s="144" t="s">
        <v>245</v>
      </c>
      <c r="E27" s="145" t="s">
        <v>251</v>
      </c>
      <c r="F27" s="145" t="s">
        <v>257</v>
      </c>
      <c r="G27" s="143" t="s">
        <v>331</v>
      </c>
      <c r="H27" s="143" t="s">
        <v>332</v>
      </c>
      <c r="I27" s="143" t="s">
        <v>333</v>
      </c>
    </row>
    <row r="28" customFormat="false" ht="128.25" hidden="false" customHeight="true" outlineLevel="0" collapsed="false">
      <c r="B28" s="143" t="s">
        <v>246</v>
      </c>
      <c r="C28" s="144"/>
      <c r="D28" s="144" t="s">
        <v>245</v>
      </c>
      <c r="E28" s="145" t="s">
        <v>251</v>
      </c>
      <c r="F28" s="145" t="s">
        <v>257</v>
      </c>
      <c r="G28" s="143" t="s">
        <v>334</v>
      </c>
      <c r="H28" s="143" t="s">
        <v>335</v>
      </c>
      <c r="I28" s="143" t="s">
        <v>336</v>
      </c>
    </row>
    <row r="29" customFormat="false" ht="153" hidden="false" customHeight="true" outlineLevel="0" collapsed="false">
      <c r="B29" s="143" t="s">
        <v>247</v>
      </c>
      <c r="C29" s="144"/>
      <c r="D29" s="144" t="s">
        <v>245</v>
      </c>
      <c r="E29" s="145" t="s">
        <v>251</v>
      </c>
      <c r="F29" s="145" t="s">
        <v>257</v>
      </c>
      <c r="G29" s="143" t="s">
        <v>337</v>
      </c>
      <c r="H29" s="143" t="s">
        <v>338</v>
      </c>
      <c r="I29" s="143" t="s">
        <v>339</v>
      </c>
    </row>
    <row r="31" customFormat="false" ht="79.5" hidden="false" customHeight="true" outlineLevel="0" collapsed="false">
      <c r="B31" s="148" t="s">
        <v>340</v>
      </c>
    </row>
    <row r="33" customFormat="false" ht="34.3" hidden="false" customHeight="false" outlineLevel="0" collapsed="false">
      <c r="B33" s="149" t="s">
        <v>341</v>
      </c>
    </row>
    <row r="34" customFormat="false" ht="41.75" hidden="false" customHeight="false" outlineLevel="0" collapsed="false">
      <c r="B34" s="150" t="s">
        <v>342</v>
      </c>
    </row>
    <row r="35" customFormat="false" ht="41.75" hidden="false" customHeight="false" outlineLevel="0" collapsed="false">
      <c r="B35" s="150" t="s">
        <v>343</v>
      </c>
    </row>
    <row r="36" customFormat="false" ht="41.75" hidden="false" customHeight="false" outlineLevel="0" collapsed="false">
      <c r="B36" s="150" t="s">
        <v>344</v>
      </c>
    </row>
    <row r="37" customFormat="false" ht="41.75" hidden="false" customHeight="false" outlineLevel="0" collapsed="false">
      <c r="B37" s="150" t="s">
        <v>345</v>
      </c>
    </row>
    <row r="38" customFormat="false" ht="28.35" hidden="false" customHeight="false" outlineLevel="0" collapsed="false">
      <c r="B38" s="150" t="s">
        <v>346</v>
      </c>
    </row>
    <row r="39" customFormat="false" ht="28.35" hidden="false" customHeight="false" outlineLevel="0" collapsed="false">
      <c r="B39" s="150" t="s">
        <v>347</v>
      </c>
    </row>
    <row r="40" customFormat="false" ht="41.75" hidden="false" customHeight="false" outlineLevel="0" collapsed="false">
      <c r="B40" s="150" t="s">
        <v>348</v>
      </c>
    </row>
    <row r="41" customFormat="false" ht="28.35" hidden="false" customHeight="false" outlineLevel="0" collapsed="false">
      <c r="B41" s="150" t="s">
        <v>349</v>
      </c>
    </row>
    <row r="42" customFormat="false" ht="28.35" hidden="false" customHeight="false" outlineLevel="0" collapsed="false">
      <c r="B42" s="150" t="s">
        <v>350</v>
      </c>
    </row>
    <row r="43" customFormat="false" ht="28.35" hidden="false" customHeight="false" outlineLevel="0" collapsed="false">
      <c r="B43" s="150" t="s">
        <v>351</v>
      </c>
    </row>
    <row r="44" customFormat="false" ht="28.35" hidden="false" customHeight="false" outlineLevel="0" collapsed="false">
      <c r="B44" s="150" t="s">
        <v>352</v>
      </c>
    </row>
    <row r="45" customFormat="false" ht="41.75" hidden="false" customHeight="false" outlineLevel="0" collapsed="false">
      <c r="B45" s="150" t="s">
        <v>353</v>
      </c>
    </row>
    <row r="46" customFormat="false" ht="28.35" hidden="false" customHeight="false" outlineLevel="0" collapsed="false">
      <c r="B46" s="150" t="s">
        <v>354</v>
      </c>
    </row>
    <row r="47" customFormat="false" ht="28.35" hidden="false" customHeight="false" outlineLevel="0" collapsed="false">
      <c r="B47" s="150" t="s">
        <v>355</v>
      </c>
    </row>
    <row r="48" customFormat="false" ht="15" hidden="false" customHeight="false" outlineLevel="0" collapsed="false">
      <c r="B48" s="150" t="s">
        <v>356</v>
      </c>
    </row>
    <row r="49" customFormat="false" ht="28.35" hidden="false" customHeight="false" outlineLevel="0" collapsed="false">
      <c r="B49" s="150" t="s">
        <v>357</v>
      </c>
    </row>
    <row r="50" customFormat="false" ht="41.75" hidden="false" customHeight="false" outlineLevel="0" collapsed="false">
      <c r="B50" s="150" t="s">
        <v>358</v>
      </c>
    </row>
    <row r="51" customFormat="false" ht="28.35" hidden="false" customHeight="false" outlineLevel="0" collapsed="false">
      <c r="B51" s="150" t="s">
        <v>359</v>
      </c>
    </row>
    <row r="52" customFormat="false" ht="28.35" hidden="false" customHeight="false" outlineLevel="0" collapsed="false">
      <c r="B52" s="150" t="s">
        <v>360</v>
      </c>
    </row>
    <row r="53" customFormat="false" ht="28.35" hidden="false" customHeight="false" outlineLevel="0" collapsed="false">
      <c r="B53" s="150" t="s">
        <v>361</v>
      </c>
    </row>
    <row r="54" customFormat="false" ht="28.35" hidden="false" customHeight="false" outlineLevel="0" collapsed="false">
      <c r="B54" s="150" t="s">
        <v>362</v>
      </c>
    </row>
    <row r="55" customFormat="false" ht="28.35" hidden="false" customHeight="false" outlineLevel="0" collapsed="false">
      <c r="B55" s="150" t="s">
        <v>363</v>
      </c>
    </row>
    <row r="56" customFormat="false" ht="41.75" hidden="false" customHeight="false" outlineLevel="0" collapsed="false">
      <c r="B56" s="150" t="s">
        <v>364</v>
      </c>
    </row>
    <row r="57" customFormat="false" ht="55.2" hidden="false" customHeight="false" outlineLevel="0" collapsed="false">
      <c r="B57" s="150" t="s">
        <v>365</v>
      </c>
    </row>
    <row r="58" customFormat="false" ht="28.35" hidden="false" customHeight="false" outlineLevel="0" collapsed="false">
      <c r="B58" s="150" t="s">
        <v>366</v>
      </c>
    </row>
    <row r="59" customFormat="false" ht="28.35" hidden="false" customHeight="false" outlineLevel="0" collapsed="false">
      <c r="B59" s="150" t="s">
        <v>367</v>
      </c>
    </row>
    <row r="60" customFormat="false" ht="28.35" hidden="false" customHeight="false" outlineLevel="0" collapsed="false">
      <c r="B60" s="150" t="s">
        <v>368</v>
      </c>
    </row>
    <row r="61" customFormat="false" ht="41.75" hidden="false" customHeight="false" outlineLevel="0" collapsed="false">
      <c r="B61" s="150" t="s">
        <v>369</v>
      </c>
    </row>
    <row r="62" customFormat="false" ht="28.35" hidden="false" customHeight="false" outlineLevel="0" collapsed="false">
      <c r="B62" s="150" t="s">
        <v>370</v>
      </c>
    </row>
    <row r="63" customFormat="false" ht="28.35" hidden="false" customHeight="false" outlineLevel="0" collapsed="false">
      <c r="B63" s="150" t="s">
        <v>371</v>
      </c>
    </row>
    <row r="64" customFormat="false" ht="41.75" hidden="false" customHeight="false" outlineLevel="0" collapsed="false">
      <c r="B64" s="150" t="s">
        <v>372</v>
      </c>
    </row>
    <row r="65" customFormat="false" ht="41.75" hidden="false" customHeight="false" outlineLevel="0" collapsed="false">
      <c r="B65" s="150" t="s">
        <v>373</v>
      </c>
    </row>
    <row r="66" customFormat="false" ht="41.75" hidden="false" customHeight="false" outlineLevel="0" collapsed="false">
      <c r="B66" s="150" t="s">
        <v>374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6677</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2026-06-23T17:03:55Z</dcterms:created>
  <dc:creator>openpyxl</dc:creator>
  <dc:description/>
  <dc:language>en-US</dc:language>
  <cp:lastModifiedBy/>
  <dcterms:modified xsi:type="dcterms:W3CDTF">2026-07-20T07:01:50Z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0x0101000DE7F5662E06334784A3FEA366255A7E</vt:lpwstr>
  </property>
  <property fmtid="{D5CDD505-2E9C-101B-9397-08002B2CF9AE}" pid="3" name="MediaServiceImageTags">
    <vt:lpwstr/>
  </property>
</Properties>
</file>